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 Koehr\Documents\Seton School\Seton Swim Coach\Season '25-'26\"/>
    </mc:Choice>
  </mc:AlternateContent>
  <xr:revisionPtr revIDLastSave="0" documentId="13_ncr:1_{6E291C1B-9B23-4A72-9B6D-C3BF0F356FB1}" xr6:coauthVersionLast="47" xr6:coauthVersionMax="47" xr10:uidLastSave="{00000000-0000-0000-0000-000000000000}"/>
  <bookViews>
    <workbookView xWindow="-36870" yWindow="-255" windowWidth="33000" windowHeight="19200" xr2:uid="{00000000-000D-0000-FFFF-FFFF00000000}"/>
  </bookViews>
  <sheets>
    <sheet name="Schedule" sheetId="7" r:id="rId1"/>
    <sheet name="CPAC Requests" sheetId="1" r:id="rId2"/>
    <sheet name="Freedom Requests" sheetId="5" r:id="rId3"/>
    <sheet name="WARF Requests" sheetId="6" r:id="rId4"/>
    <sheet name="Sheet2" sheetId="2" r:id="rId5"/>
    <sheet name="Sheet3" sheetId="3" r:id="rId6"/>
  </sheets>
  <definedNames>
    <definedName name="_xlnm.Print_Area" localSheetId="1">'CPAC Requests'!$A$1:$H$23</definedName>
    <definedName name="_xlnm.Print_Area" localSheetId="2">'Freedom Requests'!$A$1:$H$8</definedName>
    <definedName name="_xlnm.Print_Area" localSheetId="0">Schedule!$A$1:$J$18</definedName>
    <definedName name="_xlnm.Print_Area" localSheetId="3">'WARF Requests'!$A$1:$H$8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7" l="1"/>
  <c r="P5" i="7"/>
  <c r="M6" i="7"/>
  <c r="M16" i="7" l="1"/>
  <c r="M15" i="7"/>
  <c r="M14" i="7"/>
  <c r="M9" i="7"/>
  <c r="M7" i="7"/>
  <c r="M5" i="7"/>
  <c r="M10" i="7"/>
</calcChain>
</file>

<file path=xl/sharedStrings.xml><?xml version="1.0" encoding="utf-8"?>
<sst xmlns="http://schemas.openxmlformats.org/spreadsheetml/2006/main" count="170" uniqueCount="91">
  <si>
    <t>Start Date</t>
  </si>
  <si>
    <t>End Date</t>
  </si>
  <si>
    <t># Lanes</t>
  </si>
  <si>
    <t>Day of Week</t>
  </si>
  <si>
    <t>Purpose</t>
  </si>
  <si>
    <t>Mondays</t>
  </si>
  <si>
    <t>Start Time</t>
  </si>
  <si>
    <t>End Time</t>
  </si>
  <si>
    <t>Tuesdays/Thursdays</t>
  </si>
  <si>
    <t>Practice before Thanksgiving</t>
  </si>
  <si>
    <t>Note</t>
  </si>
  <si>
    <t>Dryland starts at 6:19 AM</t>
  </si>
  <si>
    <t>Dryland starts at 6:04 AM</t>
  </si>
  <si>
    <t>Practice before Christmas</t>
  </si>
  <si>
    <t>Practice Over Christmas Break</t>
  </si>
  <si>
    <t>Thursdays</t>
  </si>
  <si>
    <t xml:space="preserve">Tuesdays </t>
  </si>
  <si>
    <t>Practice After Christmas Break</t>
  </si>
  <si>
    <t>Varsity Only Practice</t>
  </si>
  <si>
    <t>Seton Swimming Practices</t>
  </si>
  <si>
    <t>Seton Swimming Meets and Events</t>
  </si>
  <si>
    <t>Seton Icebreaker Invitational</t>
  </si>
  <si>
    <t>Saturday</t>
  </si>
  <si>
    <t>Friday</t>
  </si>
  <si>
    <t>Seton Homecoming Invitational</t>
  </si>
  <si>
    <t>Cystic-Fibrosis Swim-a-thon</t>
  </si>
  <si>
    <t>Seton Winter Invitational</t>
  </si>
  <si>
    <t>Only need therapy pool for warm-ups</t>
  </si>
  <si>
    <t>No Dryland</t>
  </si>
  <si>
    <t>Central Park Aquatic Center</t>
  </si>
  <si>
    <t>Seton Swimming Pool Lane Requests - '16-'17 Season</t>
  </si>
  <si>
    <t>Freedom Aquatic and Fitness Center</t>
  </si>
  <si>
    <t>NoVA Catholic HS Swim &amp; Dive Champs - Diving</t>
  </si>
  <si>
    <t>2 Boards</t>
  </si>
  <si>
    <t>NoVA Catholic HS Swim &amp; Dive Champs - Swimming</t>
  </si>
  <si>
    <t>4 continuous warm-up/warm-down lanes</t>
  </si>
  <si>
    <t>VISAA Division II Invitational</t>
  </si>
  <si>
    <t>DAC Conference Championships</t>
  </si>
  <si>
    <t>Fitch Warrenton Aquatic and Recreation Facility</t>
  </si>
  <si>
    <t>Time Trials</t>
  </si>
  <si>
    <t>VISAA Junior Varsity Invitational</t>
  </si>
  <si>
    <t>Day</t>
  </si>
  <si>
    <t>Date</t>
  </si>
  <si>
    <t>Location</t>
  </si>
  <si>
    <t># of Lanes</t>
  </si>
  <si>
    <t>Pool Begin Time</t>
  </si>
  <si>
    <t>Pool End Time</t>
  </si>
  <si>
    <t>Scheduled</t>
  </si>
  <si>
    <t>Pool Confirmed?</t>
  </si>
  <si>
    <t>Freedom Center</t>
  </si>
  <si>
    <t>Saturday/Sunday</t>
  </si>
  <si>
    <t>Swim Meet Start Time</t>
  </si>
  <si>
    <t xml:space="preserve">VISAA State Championship </t>
  </si>
  <si>
    <t xml:space="preserve">Freedom Center </t>
  </si>
  <si>
    <t xml:space="preserve">National Catholics - Qualifiers only </t>
  </si>
  <si>
    <t>Sunday</t>
  </si>
  <si>
    <t>Tentative: Renaissance Montessori School</t>
  </si>
  <si>
    <t>Tentative: Seton Swimming Awards</t>
  </si>
  <si>
    <t>Meet Sponsor</t>
  </si>
  <si>
    <t>John Paul Design Build</t>
  </si>
  <si>
    <t>BVM Foundation</t>
  </si>
  <si>
    <t>NVMS</t>
  </si>
  <si>
    <t>Dive Meet Start Time</t>
  </si>
  <si>
    <t>Data Center Decommissioning Services, LLC</t>
  </si>
  <si>
    <t>Lobster Maine-ia</t>
  </si>
  <si>
    <t>VCAC Conference Swim &amp; Dive Champs</t>
  </si>
  <si>
    <t>Loyola University Maryland, Baltimore, MD</t>
  </si>
  <si>
    <t>Roof Simple</t>
  </si>
  <si>
    <t>Thursday/Friday/  Saturday</t>
  </si>
  <si>
    <t xml:space="preserve">Thursday </t>
  </si>
  <si>
    <t>TBD</t>
  </si>
  <si>
    <t>Relay Carnival for A and B Relays, hosted by St. Paul VI Catholic High School</t>
  </si>
  <si>
    <t>Seton Swim Meet Schedule - 2025-2026 Season</t>
  </si>
  <si>
    <t>17-Jan to 18-Jan-26</t>
  </si>
  <si>
    <t>Wednesday</t>
  </si>
  <si>
    <t>12-Feb to 14-Feb-26</t>
  </si>
  <si>
    <t>Dulles South Recreation and Community Center, South Riding, VA</t>
  </si>
  <si>
    <t>Collegiate Aquatic Center (Swim RVA),5050 Ridgedale Pkwy, Richmond, VA 23234</t>
  </si>
  <si>
    <t>Est Dive Time (mins)</t>
  </si>
  <si>
    <t>Time Trial Meet with Trinity Meadowview</t>
  </si>
  <si>
    <r>
      <t>MEET FULL (Seton JV+87): Seton Winter Invitational</t>
    </r>
    <r>
      <rPr>
        <sz val="12"/>
        <rFont val="Garamond"/>
        <family val="1"/>
      </rPr>
      <t xml:space="preserve"> - The Carmel School (21), Veritas Collegiate (Arlington) (10), Evergreen Christian (16), Trinity Meadowview (20), Fresta Valley (20)</t>
    </r>
  </si>
  <si>
    <t>No Diving</t>
  </si>
  <si>
    <r>
      <t xml:space="preserve">MEET FULL (Seton+226+15 Divers): Homecoming Invitational </t>
    </r>
    <r>
      <rPr>
        <sz val="12"/>
        <rFont val="Garamond"/>
        <family val="1"/>
      </rPr>
      <t>- BIM Swim Team (22), The Carmel School (21), Veritas Collegiate (Arlington) (10), Evergreen Christian (16), Trinity Christian (30+10 Divers), Alexandria City (45+5 Divers), Trinity Meadowview (20), Fresta Valley (20), Fredericksburg Christian (40)</t>
    </r>
  </si>
  <si>
    <t xml:space="preserve">16th Annual Northern Virginia Catholic High School Championship </t>
  </si>
  <si>
    <t xml:space="preserve">19th Annual VISAA Junior Varsity Invitational </t>
  </si>
  <si>
    <t xml:space="preserve">20th Annual VISAA Division II Invitational Swimming and Diving Championship </t>
  </si>
  <si>
    <t>14th Annual Cystic Fibrosis Swim-a-thon</t>
  </si>
  <si>
    <r>
      <t>MEET FULL (Seton+226+6 Divers): Icebreaker Invitational -</t>
    </r>
    <r>
      <rPr>
        <sz val="12"/>
        <rFont val="Garamond"/>
        <family val="1"/>
      </rPr>
      <t xml:space="preserve"> Flint Hill (30), John Paul the Great (30+3 Divers), Veritas Collegiate (Arlington) (10), Evergreen Christian (16), Immanuel Christian (40), Trinity Meadowview (20), Fresta Valley (20), Oakcrest (20), Fredericksburg Christian (40), Trinity Christian (10 Divers only)</t>
    </r>
  </si>
  <si>
    <r>
      <t xml:space="preserve">MEET FULL (Seton+226+13 Divers): Seton December Invitational </t>
    </r>
    <r>
      <rPr>
        <sz val="12"/>
        <rFont val="Garamond"/>
        <family val="1"/>
      </rPr>
      <t>- Flint Hill (30), Veritas Collegiate (Arlington) (10), Williamsburg Christian (16),  Immanuel Christian (40), Trinity Christian (30+10 divers), Trinity Meadowview (20), Fresta Valley (20), Oakcrest (20), Fredericksburg Christian (40)</t>
    </r>
  </si>
  <si>
    <r>
      <t xml:space="preserve">MEET FULL (Seton+160+16 Divers): 15th Annual VCAC Regular Season Championship Invitational </t>
    </r>
    <r>
      <rPr>
        <sz val="12"/>
        <rFont val="Garamond"/>
        <family val="1"/>
      </rPr>
      <t>- All VCAC Teams only - John Paul the Great (30+3 Divers),  Immanuel Christian (40), Trinity Christian (30+10 Divers), Fredericksburg Christian (40), Oakcrest (20)</t>
    </r>
  </si>
  <si>
    <t>Altercare Integrated Health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</si>
</sst>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Garamond"/>
      <family val="2"/>
    </font>
    <font>
      <b/>
      <sz val="12"/>
      <color theme="1"/>
      <name val="Garamond"/>
      <family val="1"/>
    </font>
    <font>
      <b/>
      <sz val="14"/>
      <color theme="1"/>
      <name val="Garamond"/>
      <family val="1"/>
    </font>
    <font>
      <sz val="12"/>
      <color theme="1"/>
      <name val="Garamond"/>
      <family val="1"/>
    </font>
    <font>
      <b/>
      <sz val="12"/>
      <name val="Garamond"/>
      <family val="1"/>
    </font>
    <font>
      <sz val="12"/>
      <name val="Garamond"/>
      <family val="1"/>
    </font>
    <font>
      <b/>
      <sz val="14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18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vertical="top"/>
    </xf>
    <xf numFmtId="0" fontId="0" fillId="0" borderId="2" xfId="0" applyBorder="1" applyAlignment="1">
      <alignment horizontal="center" vertical="top"/>
    </xf>
    <xf numFmtId="18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vertical="top"/>
    </xf>
    <xf numFmtId="0" fontId="0" fillId="0" borderId="3" xfId="0" applyBorder="1" applyAlignment="1">
      <alignment horizontal="center" vertical="top"/>
    </xf>
    <xf numFmtId="18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14" fontId="0" fillId="2" borderId="2" xfId="0" applyNumberFormat="1" applyFill="1" applyBorder="1" applyAlignment="1">
      <alignment vertical="top"/>
    </xf>
    <xf numFmtId="0" fontId="0" fillId="2" borderId="2" xfId="0" applyFill="1" applyBorder="1" applyAlignment="1">
      <alignment horizontal="center" vertical="top"/>
    </xf>
    <xf numFmtId="18" fontId="0" fillId="2" borderId="2" xfId="0" applyNumberForma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14" fontId="0" fillId="2" borderId="3" xfId="0" applyNumberFormat="1" applyFill="1" applyBorder="1" applyAlignment="1">
      <alignment vertical="top"/>
    </xf>
    <xf numFmtId="0" fontId="0" fillId="2" borderId="3" xfId="0" applyFill="1" applyBorder="1" applyAlignment="1">
      <alignment horizontal="center" vertical="top"/>
    </xf>
    <xf numFmtId="18" fontId="0" fillId="2" borderId="3" xfId="0" applyNumberForma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top"/>
    </xf>
    <xf numFmtId="14" fontId="0" fillId="2" borderId="0" xfId="0" applyNumberFormat="1" applyFill="1" applyAlignment="1">
      <alignment vertical="top"/>
    </xf>
    <xf numFmtId="0" fontId="0" fillId="2" borderId="0" xfId="0" applyFill="1" applyAlignment="1">
      <alignment horizontal="center" vertical="top"/>
    </xf>
    <xf numFmtId="18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horizontal="center" vertical="top" wrapText="1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18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2" fillId="0" borderId="0" xfId="0" applyFont="1"/>
    <xf numFmtId="15" fontId="0" fillId="0" borderId="0" xfId="0" applyNumberFormat="1" applyAlignment="1">
      <alignment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3" borderId="3" xfId="0" applyFont="1" applyFill="1" applyBorder="1" applyAlignment="1">
      <alignment vertical="top" wrapText="1"/>
    </xf>
    <xf numFmtId="18" fontId="5" fillId="0" borderId="1" xfId="0" applyNumberFormat="1" applyFont="1" applyBorder="1" applyAlignment="1">
      <alignment horizontal="center" vertical="top"/>
    </xf>
    <xf numFmtId="0" fontId="4" fillId="3" borderId="10" xfId="0" applyFont="1" applyFill="1" applyBorder="1" applyAlignment="1">
      <alignment vertical="top" wrapText="1"/>
    </xf>
    <xf numFmtId="0" fontId="4" fillId="3" borderId="10" xfId="0" quotePrefix="1" applyFont="1" applyFill="1" applyBorder="1" applyAlignment="1">
      <alignment vertical="top" wrapText="1"/>
    </xf>
    <xf numFmtId="0" fontId="5" fillId="0" borderId="8" xfId="0" applyFont="1" applyBorder="1" applyAlignment="1">
      <alignment horizontal="center" vertical="top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/>
    </xf>
    <xf numFmtId="0" fontId="4" fillId="0" borderId="7" xfId="0" applyFont="1" applyBorder="1" applyAlignment="1">
      <alignment vertical="top" wrapText="1"/>
    </xf>
    <xf numFmtId="0" fontId="4" fillId="0" borderId="7" xfId="0" quotePrefix="1" applyFont="1" applyBorder="1" applyAlignment="1">
      <alignment vertical="top" wrapText="1"/>
    </xf>
    <xf numFmtId="0" fontId="5" fillId="3" borderId="8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18" fontId="5" fillId="3" borderId="1" xfId="0" applyNumberFormat="1" applyFont="1" applyFill="1" applyBorder="1" applyAlignment="1">
      <alignment horizontal="center" vertical="top"/>
    </xf>
    <xf numFmtId="0" fontId="4" fillId="3" borderId="7" xfId="0" quotePrefix="1" applyFont="1" applyFill="1" applyBorder="1" applyAlignment="1">
      <alignment vertical="top" wrapText="1"/>
    </xf>
    <xf numFmtId="15" fontId="4" fillId="3" borderId="1" xfId="0" applyNumberFormat="1" applyFont="1" applyFill="1" applyBorder="1" applyAlignment="1">
      <alignment horizontal="center" vertical="top"/>
    </xf>
    <xf numFmtId="0" fontId="4" fillId="3" borderId="7" xfId="0" applyFont="1" applyFill="1" applyBorder="1" applyAlignment="1">
      <alignment vertical="top" wrapText="1"/>
    </xf>
    <xf numFmtId="15" fontId="4" fillId="0" borderId="1" xfId="0" applyNumberFormat="1" applyFont="1" applyBorder="1" applyAlignment="1">
      <alignment horizontal="center" vertical="top"/>
    </xf>
    <xf numFmtId="0" fontId="5" fillId="3" borderId="9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Continuous"/>
    </xf>
    <xf numFmtId="0" fontId="4" fillId="0" borderId="10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0" borderId="0" xfId="0" applyFont="1" applyAlignment="1">
      <alignment horizontal="left"/>
    </xf>
    <xf numFmtId="0" fontId="4" fillId="3" borderId="3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10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top"/>
    </xf>
    <xf numFmtId="0" fontId="5" fillId="3" borderId="12" xfId="0" applyFont="1" applyFill="1" applyBorder="1" applyAlignment="1">
      <alignment horizontal="center" vertical="top" wrapText="1"/>
    </xf>
    <xf numFmtId="15" fontId="4" fillId="3" borderId="11" xfId="0" applyNumberFormat="1" applyFont="1" applyFill="1" applyBorder="1" applyAlignment="1">
      <alignment horizontal="center" vertical="top"/>
    </xf>
    <xf numFmtId="0" fontId="4" fillId="3" borderId="11" xfId="0" applyFont="1" applyFill="1" applyBorder="1" applyAlignment="1">
      <alignment vertical="top" wrapText="1"/>
    </xf>
    <xf numFmtId="0" fontId="5" fillId="3" borderId="11" xfId="0" applyFont="1" applyFill="1" applyBorder="1" applyAlignment="1">
      <alignment horizontal="center" vertical="top" wrapText="1"/>
    </xf>
    <xf numFmtId="18" fontId="5" fillId="3" borderId="11" xfId="0" applyNumberFormat="1" applyFont="1" applyFill="1" applyBorder="1" applyAlignment="1">
      <alignment horizontal="center" vertical="top"/>
    </xf>
    <xf numFmtId="0" fontId="4" fillId="3" borderId="13" xfId="0" applyFont="1" applyFill="1" applyBorder="1" applyAlignment="1">
      <alignment vertical="top"/>
    </xf>
    <xf numFmtId="0" fontId="4" fillId="3" borderId="13" xfId="0" quotePrefix="1" applyFont="1" applyFill="1" applyBorder="1" applyAlignment="1">
      <alignment vertical="top" wrapText="1"/>
    </xf>
    <xf numFmtId="0" fontId="5" fillId="0" borderId="9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5" fontId="4" fillId="4" borderId="1" xfId="0" applyNumberFormat="1" applyFont="1" applyFill="1" applyBorder="1" applyAlignment="1">
      <alignment horizontal="center" vertical="top"/>
    </xf>
    <xf numFmtId="18" fontId="5" fillId="4" borderId="1" xfId="0" applyNumberFormat="1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/>
    </xf>
    <xf numFmtId="0" fontId="4" fillId="4" borderId="10" xfId="0" applyFont="1" applyFill="1" applyBorder="1" applyAlignment="1">
      <alignment vertical="top" wrapText="1"/>
    </xf>
    <xf numFmtId="0" fontId="4" fillId="4" borderId="10" xfId="0" quotePrefix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vertical="top"/>
    </xf>
    <xf numFmtId="0" fontId="4" fillId="0" borderId="3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15" fontId="4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14" xfId="0" applyFont="1" applyBorder="1" applyAlignment="1">
      <alignment horizontal="center" wrapText="1"/>
    </xf>
    <xf numFmtId="0" fontId="4" fillId="0" borderId="15" xfId="0" quotePrefix="1" applyFont="1" applyBorder="1" applyAlignment="1">
      <alignment horizontal="center" vertical="top" wrapText="1"/>
    </xf>
    <xf numFmtId="0" fontId="4" fillId="3" borderId="16" xfId="0" quotePrefix="1" applyFont="1" applyFill="1" applyBorder="1" applyAlignment="1">
      <alignment horizontal="center" vertical="top" wrapText="1"/>
    </xf>
    <xf numFmtId="0" fontId="4" fillId="0" borderId="16" xfId="0" quotePrefix="1" applyFont="1" applyBorder="1" applyAlignment="1">
      <alignment horizontal="center" vertical="top" wrapText="1"/>
    </xf>
    <xf numFmtId="0" fontId="4" fillId="3" borderId="15" xfId="0" quotePrefix="1" applyFont="1" applyFill="1" applyBorder="1" applyAlignment="1">
      <alignment horizontal="center" vertical="top" wrapText="1"/>
    </xf>
    <xf numFmtId="0" fontId="4" fillId="4" borderId="16" xfId="0" quotePrefix="1" applyFont="1" applyFill="1" applyBorder="1" applyAlignment="1">
      <alignment horizontal="center" vertical="top" wrapText="1"/>
    </xf>
    <xf numFmtId="0" fontId="4" fillId="3" borderId="17" xfId="0" quotePrefix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zoomScale="80" zoomScaleNormal="80" workbookViewId="0">
      <pane ySplit="3" topLeftCell="A4" activePane="bottomLeft" state="frozen"/>
      <selection pane="bottomLeft" activeCell="G11" sqref="G11"/>
    </sheetView>
  </sheetViews>
  <sheetFormatPr defaultRowHeight="15.75" x14ac:dyDescent="0.25"/>
  <cols>
    <col min="1" max="1" width="17.375" customWidth="1"/>
    <col min="2" max="2" width="24.375" customWidth="1"/>
    <col min="3" max="3" width="28.375" customWidth="1"/>
    <col min="4" max="4" width="24.5" customWidth="1"/>
    <col min="5" max="5" width="8.625" customWidth="1"/>
    <col min="6" max="7" width="13.25" customWidth="1"/>
    <col min="8" max="8" width="10.875" customWidth="1"/>
    <col min="9" max="9" width="13" customWidth="1"/>
    <col min="10" max="10" width="45" customWidth="1"/>
    <col min="11" max="11" width="14.625" customWidth="1"/>
    <col min="13" max="13" width="17.375" customWidth="1"/>
    <col min="257" max="257" width="17.25" customWidth="1"/>
    <col min="258" max="258" width="24.375" customWidth="1"/>
    <col min="259" max="259" width="27.125" customWidth="1"/>
    <col min="260" max="260" width="8.625" customWidth="1"/>
    <col min="261" max="261" width="13.25" customWidth="1"/>
    <col min="262" max="262" width="10.875" customWidth="1"/>
    <col min="263" max="263" width="13" customWidth="1"/>
    <col min="264" max="264" width="47.875" customWidth="1"/>
    <col min="265" max="265" width="32.25" customWidth="1"/>
    <col min="266" max="266" width="11.375" customWidth="1"/>
    <col min="513" max="513" width="17.25" customWidth="1"/>
    <col min="514" max="514" width="24.375" customWidth="1"/>
    <col min="515" max="515" width="27.125" customWidth="1"/>
    <col min="516" max="516" width="8.625" customWidth="1"/>
    <col min="517" max="517" width="13.25" customWidth="1"/>
    <col min="518" max="518" width="10.875" customWidth="1"/>
    <col min="519" max="519" width="13" customWidth="1"/>
    <col min="520" max="520" width="47.875" customWidth="1"/>
    <col min="521" max="521" width="32.25" customWidth="1"/>
    <col min="522" max="522" width="11.375" customWidth="1"/>
    <col min="769" max="769" width="17.25" customWidth="1"/>
    <col min="770" max="770" width="24.375" customWidth="1"/>
    <col min="771" max="771" width="27.125" customWidth="1"/>
    <col min="772" max="772" width="8.625" customWidth="1"/>
    <col min="773" max="773" width="13.25" customWidth="1"/>
    <col min="774" max="774" width="10.875" customWidth="1"/>
    <col min="775" max="775" width="13" customWidth="1"/>
    <col min="776" max="776" width="47.875" customWidth="1"/>
    <col min="777" max="777" width="32.25" customWidth="1"/>
    <col min="778" max="778" width="11.375" customWidth="1"/>
    <col min="1025" max="1025" width="17.25" customWidth="1"/>
    <col min="1026" max="1026" width="24.375" customWidth="1"/>
    <col min="1027" max="1027" width="27.125" customWidth="1"/>
    <col min="1028" max="1028" width="8.625" customWidth="1"/>
    <col min="1029" max="1029" width="13.25" customWidth="1"/>
    <col min="1030" max="1030" width="10.875" customWidth="1"/>
    <col min="1031" max="1031" width="13" customWidth="1"/>
    <col min="1032" max="1032" width="47.875" customWidth="1"/>
    <col min="1033" max="1033" width="32.25" customWidth="1"/>
    <col min="1034" max="1034" width="11.375" customWidth="1"/>
    <col min="1281" max="1281" width="17.25" customWidth="1"/>
    <col min="1282" max="1282" width="24.375" customWidth="1"/>
    <col min="1283" max="1283" width="27.125" customWidth="1"/>
    <col min="1284" max="1284" width="8.625" customWidth="1"/>
    <col min="1285" max="1285" width="13.25" customWidth="1"/>
    <col min="1286" max="1286" width="10.875" customWidth="1"/>
    <col min="1287" max="1287" width="13" customWidth="1"/>
    <col min="1288" max="1288" width="47.875" customWidth="1"/>
    <col min="1289" max="1289" width="32.25" customWidth="1"/>
    <col min="1290" max="1290" width="11.375" customWidth="1"/>
    <col min="1537" max="1537" width="17.25" customWidth="1"/>
    <col min="1538" max="1538" width="24.375" customWidth="1"/>
    <col min="1539" max="1539" width="27.125" customWidth="1"/>
    <col min="1540" max="1540" width="8.625" customWidth="1"/>
    <col min="1541" max="1541" width="13.25" customWidth="1"/>
    <col min="1542" max="1542" width="10.875" customWidth="1"/>
    <col min="1543" max="1543" width="13" customWidth="1"/>
    <col min="1544" max="1544" width="47.875" customWidth="1"/>
    <col min="1545" max="1545" width="32.25" customWidth="1"/>
    <col min="1546" max="1546" width="11.375" customWidth="1"/>
    <col min="1793" max="1793" width="17.25" customWidth="1"/>
    <col min="1794" max="1794" width="24.375" customWidth="1"/>
    <col min="1795" max="1795" width="27.125" customWidth="1"/>
    <col min="1796" max="1796" width="8.625" customWidth="1"/>
    <col min="1797" max="1797" width="13.25" customWidth="1"/>
    <col min="1798" max="1798" width="10.875" customWidth="1"/>
    <col min="1799" max="1799" width="13" customWidth="1"/>
    <col min="1800" max="1800" width="47.875" customWidth="1"/>
    <col min="1801" max="1801" width="32.25" customWidth="1"/>
    <col min="1802" max="1802" width="11.375" customWidth="1"/>
    <col min="2049" max="2049" width="17.25" customWidth="1"/>
    <col min="2050" max="2050" width="24.375" customWidth="1"/>
    <col min="2051" max="2051" width="27.125" customWidth="1"/>
    <col min="2052" max="2052" width="8.625" customWidth="1"/>
    <col min="2053" max="2053" width="13.25" customWidth="1"/>
    <col min="2054" max="2054" width="10.875" customWidth="1"/>
    <col min="2055" max="2055" width="13" customWidth="1"/>
    <col min="2056" max="2056" width="47.875" customWidth="1"/>
    <col min="2057" max="2057" width="32.25" customWidth="1"/>
    <col min="2058" max="2058" width="11.375" customWidth="1"/>
    <col min="2305" max="2305" width="17.25" customWidth="1"/>
    <col min="2306" max="2306" width="24.375" customWidth="1"/>
    <col min="2307" max="2307" width="27.125" customWidth="1"/>
    <col min="2308" max="2308" width="8.625" customWidth="1"/>
    <col min="2309" max="2309" width="13.25" customWidth="1"/>
    <col min="2310" max="2310" width="10.875" customWidth="1"/>
    <col min="2311" max="2311" width="13" customWidth="1"/>
    <col min="2312" max="2312" width="47.875" customWidth="1"/>
    <col min="2313" max="2313" width="32.25" customWidth="1"/>
    <col min="2314" max="2314" width="11.375" customWidth="1"/>
    <col min="2561" max="2561" width="17.25" customWidth="1"/>
    <col min="2562" max="2562" width="24.375" customWidth="1"/>
    <col min="2563" max="2563" width="27.125" customWidth="1"/>
    <col min="2564" max="2564" width="8.625" customWidth="1"/>
    <col min="2565" max="2565" width="13.25" customWidth="1"/>
    <col min="2566" max="2566" width="10.875" customWidth="1"/>
    <col min="2567" max="2567" width="13" customWidth="1"/>
    <col min="2568" max="2568" width="47.875" customWidth="1"/>
    <col min="2569" max="2569" width="32.25" customWidth="1"/>
    <col min="2570" max="2570" width="11.375" customWidth="1"/>
    <col min="2817" max="2817" width="17.25" customWidth="1"/>
    <col min="2818" max="2818" width="24.375" customWidth="1"/>
    <col min="2819" max="2819" width="27.125" customWidth="1"/>
    <col min="2820" max="2820" width="8.625" customWidth="1"/>
    <col min="2821" max="2821" width="13.25" customWidth="1"/>
    <col min="2822" max="2822" width="10.875" customWidth="1"/>
    <col min="2823" max="2823" width="13" customWidth="1"/>
    <col min="2824" max="2824" width="47.875" customWidth="1"/>
    <col min="2825" max="2825" width="32.25" customWidth="1"/>
    <col min="2826" max="2826" width="11.375" customWidth="1"/>
    <col min="3073" max="3073" width="17.25" customWidth="1"/>
    <col min="3074" max="3074" width="24.375" customWidth="1"/>
    <col min="3075" max="3075" width="27.125" customWidth="1"/>
    <col min="3076" max="3076" width="8.625" customWidth="1"/>
    <col min="3077" max="3077" width="13.25" customWidth="1"/>
    <col min="3078" max="3078" width="10.875" customWidth="1"/>
    <col min="3079" max="3079" width="13" customWidth="1"/>
    <col min="3080" max="3080" width="47.875" customWidth="1"/>
    <col min="3081" max="3081" width="32.25" customWidth="1"/>
    <col min="3082" max="3082" width="11.375" customWidth="1"/>
    <col min="3329" max="3329" width="17.25" customWidth="1"/>
    <col min="3330" max="3330" width="24.375" customWidth="1"/>
    <col min="3331" max="3331" width="27.125" customWidth="1"/>
    <col min="3332" max="3332" width="8.625" customWidth="1"/>
    <col min="3333" max="3333" width="13.25" customWidth="1"/>
    <col min="3334" max="3334" width="10.875" customWidth="1"/>
    <col min="3335" max="3335" width="13" customWidth="1"/>
    <col min="3336" max="3336" width="47.875" customWidth="1"/>
    <col min="3337" max="3337" width="32.25" customWidth="1"/>
    <col min="3338" max="3338" width="11.375" customWidth="1"/>
    <col min="3585" max="3585" width="17.25" customWidth="1"/>
    <col min="3586" max="3586" width="24.375" customWidth="1"/>
    <col min="3587" max="3587" width="27.125" customWidth="1"/>
    <col min="3588" max="3588" width="8.625" customWidth="1"/>
    <col min="3589" max="3589" width="13.25" customWidth="1"/>
    <col min="3590" max="3590" width="10.875" customWidth="1"/>
    <col min="3591" max="3591" width="13" customWidth="1"/>
    <col min="3592" max="3592" width="47.875" customWidth="1"/>
    <col min="3593" max="3593" width="32.25" customWidth="1"/>
    <col min="3594" max="3594" width="11.375" customWidth="1"/>
    <col min="3841" max="3841" width="17.25" customWidth="1"/>
    <col min="3842" max="3842" width="24.375" customWidth="1"/>
    <col min="3843" max="3843" width="27.125" customWidth="1"/>
    <col min="3844" max="3844" width="8.625" customWidth="1"/>
    <col min="3845" max="3845" width="13.25" customWidth="1"/>
    <col min="3846" max="3846" width="10.875" customWidth="1"/>
    <col min="3847" max="3847" width="13" customWidth="1"/>
    <col min="3848" max="3848" width="47.875" customWidth="1"/>
    <col min="3849" max="3849" width="32.25" customWidth="1"/>
    <col min="3850" max="3850" width="11.375" customWidth="1"/>
    <col min="4097" max="4097" width="17.25" customWidth="1"/>
    <col min="4098" max="4098" width="24.375" customWidth="1"/>
    <col min="4099" max="4099" width="27.125" customWidth="1"/>
    <col min="4100" max="4100" width="8.625" customWidth="1"/>
    <col min="4101" max="4101" width="13.25" customWidth="1"/>
    <col min="4102" max="4102" width="10.875" customWidth="1"/>
    <col min="4103" max="4103" width="13" customWidth="1"/>
    <col min="4104" max="4104" width="47.875" customWidth="1"/>
    <col min="4105" max="4105" width="32.25" customWidth="1"/>
    <col min="4106" max="4106" width="11.375" customWidth="1"/>
    <col min="4353" max="4353" width="17.25" customWidth="1"/>
    <col min="4354" max="4354" width="24.375" customWidth="1"/>
    <col min="4355" max="4355" width="27.125" customWidth="1"/>
    <col min="4356" max="4356" width="8.625" customWidth="1"/>
    <col min="4357" max="4357" width="13.25" customWidth="1"/>
    <col min="4358" max="4358" width="10.875" customWidth="1"/>
    <col min="4359" max="4359" width="13" customWidth="1"/>
    <col min="4360" max="4360" width="47.875" customWidth="1"/>
    <col min="4361" max="4361" width="32.25" customWidth="1"/>
    <col min="4362" max="4362" width="11.375" customWidth="1"/>
    <col min="4609" max="4609" width="17.25" customWidth="1"/>
    <col min="4610" max="4610" width="24.375" customWidth="1"/>
    <col min="4611" max="4611" width="27.125" customWidth="1"/>
    <col min="4612" max="4612" width="8.625" customWidth="1"/>
    <col min="4613" max="4613" width="13.25" customWidth="1"/>
    <col min="4614" max="4614" width="10.875" customWidth="1"/>
    <col min="4615" max="4615" width="13" customWidth="1"/>
    <col min="4616" max="4616" width="47.875" customWidth="1"/>
    <col min="4617" max="4617" width="32.25" customWidth="1"/>
    <col min="4618" max="4618" width="11.375" customWidth="1"/>
    <col min="4865" max="4865" width="17.25" customWidth="1"/>
    <col min="4866" max="4866" width="24.375" customWidth="1"/>
    <col min="4867" max="4867" width="27.125" customWidth="1"/>
    <col min="4868" max="4868" width="8.625" customWidth="1"/>
    <col min="4869" max="4869" width="13.25" customWidth="1"/>
    <col min="4870" max="4870" width="10.875" customWidth="1"/>
    <col min="4871" max="4871" width="13" customWidth="1"/>
    <col min="4872" max="4872" width="47.875" customWidth="1"/>
    <col min="4873" max="4873" width="32.25" customWidth="1"/>
    <col min="4874" max="4874" width="11.375" customWidth="1"/>
    <col min="5121" max="5121" width="17.25" customWidth="1"/>
    <col min="5122" max="5122" width="24.375" customWidth="1"/>
    <col min="5123" max="5123" width="27.125" customWidth="1"/>
    <col min="5124" max="5124" width="8.625" customWidth="1"/>
    <col min="5125" max="5125" width="13.25" customWidth="1"/>
    <col min="5126" max="5126" width="10.875" customWidth="1"/>
    <col min="5127" max="5127" width="13" customWidth="1"/>
    <col min="5128" max="5128" width="47.875" customWidth="1"/>
    <col min="5129" max="5129" width="32.25" customWidth="1"/>
    <col min="5130" max="5130" width="11.375" customWidth="1"/>
    <col min="5377" max="5377" width="17.25" customWidth="1"/>
    <col min="5378" max="5378" width="24.375" customWidth="1"/>
    <col min="5379" max="5379" width="27.125" customWidth="1"/>
    <col min="5380" max="5380" width="8.625" customWidth="1"/>
    <col min="5381" max="5381" width="13.25" customWidth="1"/>
    <col min="5382" max="5382" width="10.875" customWidth="1"/>
    <col min="5383" max="5383" width="13" customWidth="1"/>
    <col min="5384" max="5384" width="47.875" customWidth="1"/>
    <col min="5385" max="5385" width="32.25" customWidth="1"/>
    <col min="5386" max="5386" width="11.375" customWidth="1"/>
    <col min="5633" max="5633" width="17.25" customWidth="1"/>
    <col min="5634" max="5634" width="24.375" customWidth="1"/>
    <col min="5635" max="5635" width="27.125" customWidth="1"/>
    <col min="5636" max="5636" width="8.625" customWidth="1"/>
    <col min="5637" max="5637" width="13.25" customWidth="1"/>
    <col min="5638" max="5638" width="10.875" customWidth="1"/>
    <col min="5639" max="5639" width="13" customWidth="1"/>
    <col min="5640" max="5640" width="47.875" customWidth="1"/>
    <col min="5641" max="5641" width="32.25" customWidth="1"/>
    <col min="5642" max="5642" width="11.375" customWidth="1"/>
    <col min="5889" max="5889" width="17.25" customWidth="1"/>
    <col min="5890" max="5890" width="24.375" customWidth="1"/>
    <col min="5891" max="5891" width="27.125" customWidth="1"/>
    <col min="5892" max="5892" width="8.625" customWidth="1"/>
    <col min="5893" max="5893" width="13.25" customWidth="1"/>
    <col min="5894" max="5894" width="10.875" customWidth="1"/>
    <col min="5895" max="5895" width="13" customWidth="1"/>
    <col min="5896" max="5896" width="47.875" customWidth="1"/>
    <col min="5897" max="5897" width="32.25" customWidth="1"/>
    <col min="5898" max="5898" width="11.375" customWidth="1"/>
    <col min="6145" max="6145" width="17.25" customWidth="1"/>
    <col min="6146" max="6146" width="24.375" customWidth="1"/>
    <col min="6147" max="6147" width="27.125" customWidth="1"/>
    <col min="6148" max="6148" width="8.625" customWidth="1"/>
    <col min="6149" max="6149" width="13.25" customWidth="1"/>
    <col min="6150" max="6150" width="10.875" customWidth="1"/>
    <col min="6151" max="6151" width="13" customWidth="1"/>
    <col min="6152" max="6152" width="47.875" customWidth="1"/>
    <col min="6153" max="6153" width="32.25" customWidth="1"/>
    <col min="6154" max="6154" width="11.375" customWidth="1"/>
    <col min="6401" max="6401" width="17.25" customWidth="1"/>
    <col min="6402" max="6402" width="24.375" customWidth="1"/>
    <col min="6403" max="6403" width="27.125" customWidth="1"/>
    <col min="6404" max="6404" width="8.625" customWidth="1"/>
    <col min="6405" max="6405" width="13.25" customWidth="1"/>
    <col min="6406" max="6406" width="10.875" customWidth="1"/>
    <col min="6407" max="6407" width="13" customWidth="1"/>
    <col min="6408" max="6408" width="47.875" customWidth="1"/>
    <col min="6409" max="6409" width="32.25" customWidth="1"/>
    <col min="6410" max="6410" width="11.375" customWidth="1"/>
    <col min="6657" max="6657" width="17.25" customWidth="1"/>
    <col min="6658" max="6658" width="24.375" customWidth="1"/>
    <col min="6659" max="6659" width="27.125" customWidth="1"/>
    <col min="6660" max="6660" width="8.625" customWidth="1"/>
    <col min="6661" max="6661" width="13.25" customWidth="1"/>
    <col min="6662" max="6662" width="10.875" customWidth="1"/>
    <col min="6663" max="6663" width="13" customWidth="1"/>
    <col min="6664" max="6664" width="47.875" customWidth="1"/>
    <col min="6665" max="6665" width="32.25" customWidth="1"/>
    <col min="6666" max="6666" width="11.375" customWidth="1"/>
    <col min="6913" max="6913" width="17.25" customWidth="1"/>
    <col min="6914" max="6914" width="24.375" customWidth="1"/>
    <col min="6915" max="6915" width="27.125" customWidth="1"/>
    <col min="6916" max="6916" width="8.625" customWidth="1"/>
    <col min="6917" max="6917" width="13.25" customWidth="1"/>
    <col min="6918" max="6918" width="10.875" customWidth="1"/>
    <col min="6919" max="6919" width="13" customWidth="1"/>
    <col min="6920" max="6920" width="47.875" customWidth="1"/>
    <col min="6921" max="6921" width="32.25" customWidth="1"/>
    <col min="6922" max="6922" width="11.375" customWidth="1"/>
    <col min="7169" max="7169" width="17.25" customWidth="1"/>
    <col min="7170" max="7170" width="24.375" customWidth="1"/>
    <col min="7171" max="7171" width="27.125" customWidth="1"/>
    <col min="7172" max="7172" width="8.625" customWidth="1"/>
    <col min="7173" max="7173" width="13.25" customWidth="1"/>
    <col min="7174" max="7174" width="10.875" customWidth="1"/>
    <col min="7175" max="7175" width="13" customWidth="1"/>
    <col min="7176" max="7176" width="47.875" customWidth="1"/>
    <col min="7177" max="7177" width="32.25" customWidth="1"/>
    <col min="7178" max="7178" width="11.375" customWidth="1"/>
    <col min="7425" max="7425" width="17.25" customWidth="1"/>
    <col min="7426" max="7426" width="24.375" customWidth="1"/>
    <col min="7427" max="7427" width="27.125" customWidth="1"/>
    <col min="7428" max="7428" width="8.625" customWidth="1"/>
    <col min="7429" max="7429" width="13.25" customWidth="1"/>
    <col min="7430" max="7430" width="10.875" customWidth="1"/>
    <col min="7431" max="7431" width="13" customWidth="1"/>
    <col min="7432" max="7432" width="47.875" customWidth="1"/>
    <col min="7433" max="7433" width="32.25" customWidth="1"/>
    <col min="7434" max="7434" width="11.375" customWidth="1"/>
    <col min="7681" max="7681" width="17.25" customWidth="1"/>
    <col min="7682" max="7682" width="24.375" customWidth="1"/>
    <col min="7683" max="7683" width="27.125" customWidth="1"/>
    <col min="7684" max="7684" width="8.625" customWidth="1"/>
    <col min="7685" max="7685" width="13.25" customWidth="1"/>
    <col min="7686" max="7686" width="10.875" customWidth="1"/>
    <col min="7687" max="7687" width="13" customWidth="1"/>
    <col min="7688" max="7688" width="47.875" customWidth="1"/>
    <col min="7689" max="7689" width="32.25" customWidth="1"/>
    <col min="7690" max="7690" width="11.375" customWidth="1"/>
    <col min="7937" max="7937" width="17.25" customWidth="1"/>
    <col min="7938" max="7938" width="24.375" customWidth="1"/>
    <col min="7939" max="7939" width="27.125" customWidth="1"/>
    <col min="7940" max="7940" width="8.625" customWidth="1"/>
    <col min="7941" max="7941" width="13.25" customWidth="1"/>
    <col min="7942" max="7942" width="10.875" customWidth="1"/>
    <col min="7943" max="7943" width="13" customWidth="1"/>
    <col min="7944" max="7944" width="47.875" customWidth="1"/>
    <col min="7945" max="7945" width="32.25" customWidth="1"/>
    <col min="7946" max="7946" width="11.375" customWidth="1"/>
    <col min="8193" max="8193" width="17.25" customWidth="1"/>
    <col min="8194" max="8194" width="24.375" customWidth="1"/>
    <col min="8195" max="8195" width="27.125" customWidth="1"/>
    <col min="8196" max="8196" width="8.625" customWidth="1"/>
    <col min="8197" max="8197" width="13.25" customWidth="1"/>
    <col min="8198" max="8198" width="10.875" customWidth="1"/>
    <col min="8199" max="8199" width="13" customWidth="1"/>
    <col min="8200" max="8200" width="47.875" customWidth="1"/>
    <col min="8201" max="8201" width="32.25" customWidth="1"/>
    <col min="8202" max="8202" width="11.375" customWidth="1"/>
    <col min="8449" max="8449" width="17.25" customWidth="1"/>
    <col min="8450" max="8450" width="24.375" customWidth="1"/>
    <col min="8451" max="8451" width="27.125" customWidth="1"/>
    <col min="8452" max="8452" width="8.625" customWidth="1"/>
    <col min="8453" max="8453" width="13.25" customWidth="1"/>
    <col min="8454" max="8454" width="10.875" customWidth="1"/>
    <col min="8455" max="8455" width="13" customWidth="1"/>
    <col min="8456" max="8456" width="47.875" customWidth="1"/>
    <col min="8457" max="8457" width="32.25" customWidth="1"/>
    <col min="8458" max="8458" width="11.375" customWidth="1"/>
    <col min="8705" max="8705" width="17.25" customWidth="1"/>
    <col min="8706" max="8706" width="24.375" customWidth="1"/>
    <col min="8707" max="8707" width="27.125" customWidth="1"/>
    <col min="8708" max="8708" width="8.625" customWidth="1"/>
    <col min="8709" max="8709" width="13.25" customWidth="1"/>
    <col min="8710" max="8710" width="10.875" customWidth="1"/>
    <col min="8711" max="8711" width="13" customWidth="1"/>
    <col min="8712" max="8712" width="47.875" customWidth="1"/>
    <col min="8713" max="8713" width="32.25" customWidth="1"/>
    <col min="8714" max="8714" width="11.375" customWidth="1"/>
    <col min="8961" max="8961" width="17.25" customWidth="1"/>
    <col min="8962" max="8962" width="24.375" customWidth="1"/>
    <col min="8963" max="8963" width="27.125" customWidth="1"/>
    <col min="8964" max="8964" width="8.625" customWidth="1"/>
    <col min="8965" max="8965" width="13.25" customWidth="1"/>
    <col min="8966" max="8966" width="10.875" customWidth="1"/>
    <col min="8967" max="8967" width="13" customWidth="1"/>
    <col min="8968" max="8968" width="47.875" customWidth="1"/>
    <col min="8969" max="8969" width="32.25" customWidth="1"/>
    <col min="8970" max="8970" width="11.375" customWidth="1"/>
    <col min="9217" max="9217" width="17.25" customWidth="1"/>
    <col min="9218" max="9218" width="24.375" customWidth="1"/>
    <col min="9219" max="9219" width="27.125" customWidth="1"/>
    <col min="9220" max="9220" width="8.625" customWidth="1"/>
    <col min="9221" max="9221" width="13.25" customWidth="1"/>
    <col min="9222" max="9222" width="10.875" customWidth="1"/>
    <col min="9223" max="9223" width="13" customWidth="1"/>
    <col min="9224" max="9224" width="47.875" customWidth="1"/>
    <col min="9225" max="9225" width="32.25" customWidth="1"/>
    <col min="9226" max="9226" width="11.375" customWidth="1"/>
    <col min="9473" max="9473" width="17.25" customWidth="1"/>
    <col min="9474" max="9474" width="24.375" customWidth="1"/>
    <col min="9475" max="9475" width="27.125" customWidth="1"/>
    <col min="9476" max="9476" width="8.625" customWidth="1"/>
    <col min="9477" max="9477" width="13.25" customWidth="1"/>
    <col min="9478" max="9478" width="10.875" customWidth="1"/>
    <col min="9479" max="9479" width="13" customWidth="1"/>
    <col min="9480" max="9480" width="47.875" customWidth="1"/>
    <col min="9481" max="9481" width="32.25" customWidth="1"/>
    <col min="9482" max="9482" width="11.375" customWidth="1"/>
    <col min="9729" max="9729" width="17.25" customWidth="1"/>
    <col min="9730" max="9730" width="24.375" customWidth="1"/>
    <col min="9731" max="9731" width="27.125" customWidth="1"/>
    <col min="9732" max="9732" width="8.625" customWidth="1"/>
    <col min="9733" max="9733" width="13.25" customWidth="1"/>
    <col min="9734" max="9734" width="10.875" customWidth="1"/>
    <col min="9735" max="9735" width="13" customWidth="1"/>
    <col min="9736" max="9736" width="47.875" customWidth="1"/>
    <col min="9737" max="9737" width="32.25" customWidth="1"/>
    <col min="9738" max="9738" width="11.375" customWidth="1"/>
    <col min="9985" max="9985" width="17.25" customWidth="1"/>
    <col min="9986" max="9986" width="24.375" customWidth="1"/>
    <col min="9987" max="9987" width="27.125" customWidth="1"/>
    <col min="9988" max="9988" width="8.625" customWidth="1"/>
    <col min="9989" max="9989" width="13.25" customWidth="1"/>
    <col min="9990" max="9990" width="10.875" customWidth="1"/>
    <col min="9991" max="9991" width="13" customWidth="1"/>
    <col min="9992" max="9992" width="47.875" customWidth="1"/>
    <col min="9993" max="9993" width="32.25" customWidth="1"/>
    <col min="9994" max="9994" width="11.375" customWidth="1"/>
    <col min="10241" max="10241" width="17.25" customWidth="1"/>
    <col min="10242" max="10242" width="24.375" customWidth="1"/>
    <col min="10243" max="10243" width="27.125" customWidth="1"/>
    <col min="10244" max="10244" width="8.625" customWidth="1"/>
    <col min="10245" max="10245" width="13.25" customWidth="1"/>
    <col min="10246" max="10246" width="10.875" customWidth="1"/>
    <col min="10247" max="10247" width="13" customWidth="1"/>
    <col min="10248" max="10248" width="47.875" customWidth="1"/>
    <col min="10249" max="10249" width="32.25" customWidth="1"/>
    <col min="10250" max="10250" width="11.375" customWidth="1"/>
    <col min="10497" max="10497" width="17.25" customWidth="1"/>
    <col min="10498" max="10498" width="24.375" customWidth="1"/>
    <col min="10499" max="10499" width="27.125" customWidth="1"/>
    <col min="10500" max="10500" width="8.625" customWidth="1"/>
    <col min="10501" max="10501" width="13.25" customWidth="1"/>
    <col min="10502" max="10502" width="10.875" customWidth="1"/>
    <col min="10503" max="10503" width="13" customWidth="1"/>
    <col min="10504" max="10504" width="47.875" customWidth="1"/>
    <col min="10505" max="10505" width="32.25" customWidth="1"/>
    <col min="10506" max="10506" width="11.375" customWidth="1"/>
    <col min="10753" max="10753" width="17.25" customWidth="1"/>
    <col min="10754" max="10754" width="24.375" customWidth="1"/>
    <col min="10755" max="10755" width="27.125" customWidth="1"/>
    <col min="10756" max="10756" width="8.625" customWidth="1"/>
    <col min="10757" max="10757" width="13.25" customWidth="1"/>
    <col min="10758" max="10758" width="10.875" customWidth="1"/>
    <col min="10759" max="10759" width="13" customWidth="1"/>
    <col min="10760" max="10760" width="47.875" customWidth="1"/>
    <col min="10761" max="10761" width="32.25" customWidth="1"/>
    <col min="10762" max="10762" width="11.375" customWidth="1"/>
    <col min="11009" max="11009" width="17.25" customWidth="1"/>
    <col min="11010" max="11010" width="24.375" customWidth="1"/>
    <col min="11011" max="11011" width="27.125" customWidth="1"/>
    <col min="11012" max="11012" width="8.625" customWidth="1"/>
    <col min="11013" max="11013" width="13.25" customWidth="1"/>
    <col min="11014" max="11014" width="10.875" customWidth="1"/>
    <col min="11015" max="11015" width="13" customWidth="1"/>
    <col min="11016" max="11016" width="47.875" customWidth="1"/>
    <col min="11017" max="11017" width="32.25" customWidth="1"/>
    <col min="11018" max="11018" width="11.375" customWidth="1"/>
    <col min="11265" max="11265" width="17.25" customWidth="1"/>
    <col min="11266" max="11266" width="24.375" customWidth="1"/>
    <col min="11267" max="11267" width="27.125" customWidth="1"/>
    <col min="11268" max="11268" width="8.625" customWidth="1"/>
    <col min="11269" max="11269" width="13.25" customWidth="1"/>
    <col min="11270" max="11270" width="10.875" customWidth="1"/>
    <col min="11271" max="11271" width="13" customWidth="1"/>
    <col min="11272" max="11272" width="47.875" customWidth="1"/>
    <col min="11273" max="11273" width="32.25" customWidth="1"/>
    <col min="11274" max="11274" width="11.375" customWidth="1"/>
    <col min="11521" max="11521" width="17.25" customWidth="1"/>
    <col min="11522" max="11522" width="24.375" customWidth="1"/>
    <col min="11523" max="11523" width="27.125" customWidth="1"/>
    <col min="11524" max="11524" width="8.625" customWidth="1"/>
    <col min="11525" max="11525" width="13.25" customWidth="1"/>
    <col min="11526" max="11526" width="10.875" customWidth="1"/>
    <col min="11527" max="11527" width="13" customWidth="1"/>
    <col min="11528" max="11528" width="47.875" customWidth="1"/>
    <col min="11529" max="11529" width="32.25" customWidth="1"/>
    <col min="11530" max="11530" width="11.375" customWidth="1"/>
    <col min="11777" max="11777" width="17.25" customWidth="1"/>
    <col min="11778" max="11778" width="24.375" customWidth="1"/>
    <col min="11779" max="11779" width="27.125" customWidth="1"/>
    <col min="11780" max="11780" width="8.625" customWidth="1"/>
    <col min="11781" max="11781" width="13.25" customWidth="1"/>
    <col min="11782" max="11782" width="10.875" customWidth="1"/>
    <col min="11783" max="11783" width="13" customWidth="1"/>
    <col min="11784" max="11784" width="47.875" customWidth="1"/>
    <col min="11785" max="11785" width="32.25" customWidth="1"/>
    <col min="11786" max="11786" width="11.375" customWidth="1"/>
    <col min="12033" max="12033" width="17.25" customWidth="1"/>
    <col min="12034" max="12034" width="24.375" customWidth="1"/>
    <col min="12035" max="12035" width="27.125" customWidth="1"/>
    <col min="12036" max="12036" width="8.625" customWidth="1"/>
    <col min="12037" max="12037" width="13.25" customWidth="1"/>
    <col min="12038" max="12038" width="10.875" customWidth="1"/>
    <col min="12039" max="12039" width="13" customWidth="1"/>
    <col min="12040" max="12040" width="47.875" customWidth="1"/>
    <col min="12041" max="12041" width="32.25" customWidth="1"/>
    <col min="12042" max="12042" width="11.375" customWidth="1"/>
    <col min="12289" max="12289" width="17.25" customWidth="1"/>
    <col min="12290" max="12290" width="24.375" customWidth="1"/>
    <col min="12291" max="12291" width="27.125" customWidth="1"/>
    <col min="12292" max="12292" width="8.625" customWidth="1"/>
    <col min="12293" max="12293" width="13.25" customWidth="1"/>
    <col min="12294" max="12294" width="10.875" customWidth="1"/>
    <col min="12295" max="12295" width="13" customWidth="1"/>
    <col min="12296" max="12296" width="47.875" customWidth="1"/>
    <col min="12297" max="12297" width="32.25" customWidth="1"/>
    <col min="12298" max="12298" width="11.375" customWidth="1"/>
    <col min="12545" max="12545" width="17.25" customWidth="1"/>
    <col min="12546" max="12546" width="24.375" customWidth="1"/>
    <col min="12547" max="12547" width="27.125" customWidth="1"/>
    <col min="12548" max="12548" width="8.625" customWidth="1"/>
    <col min="12549" max="12549" width="13.25" customWidth="1"/>
    <col min="12550" max="12550" width="10.875" customWidth="1"/>
    <col min="12551" max="12551" width="13" customWidth="1"/>
    <col min="12552" max="12552" width="47.875" customWidth="1"/>
    <col min="12553" max="12553" width="32.25" customWidth="1"/>
    <col min="12554" max="12554" width="11.375" customWidth="1"/>
    <col min="12801" max="12801" width="17.25" customWidth="1"/>
    <col min="12802" max="12802" width="24.375" customWidth="1"/>
    <col min="12803" max="12803" width="27.125" customWidth="1"/>
    <col min="12804" max="12804" width="8.625" customWidth="1"/>
    <col min="12805" max="12805" width="13.25" customWidth="1"/>
    <col min="12806" max="12806" width="10.875" customWidth="1"/>
    <col min="12807" max="12807" width="13" customWidth="1"/>
    <col min="12808" max="12808" width="47.875" customWidth="1"/>
    <col min="12809" max="12809" width="32.25" customWidth="1"/>
    <col min="12810" max="12810" width="11.375" customWidth="1"/>
    <col min="13057" max="13057" width="17.25" customWidth="1"/>
    <col min="13058" max="13058" width="24.375" customWidth="1"/>
    <col min="13059" max="13059" width="27.125" customWidth="1"/>
    <col min="13060" max="13060" width="8.625" customWidth="1"/>
    <col min="13061" max="13061" width="13.25" customWidth="1"/>
    <col min="13062" max="13062" width="10.875" customWidth="1"/>
    <col min="13063" max="13063" width="13" customWidth="1"/>
    <col min="13064" max="13064" width="47.875" customWidth="1"/>
    <col min="13065" max="13065" width="32.25" customWidth="1"/>
    <col min="13066" max="13066" width="11.375" customWidth="1"/>
    <col min="13313" max="13313" width="17.25" customWidth="1"/>
    <col min="13314" max="13314" width="24.375" customWidth="1"/>
    <col min="13315" max="13315" width="27.125" customWidth="1"/>
    <col min="13316" max="13316" width="8.625" customWidth="1"/>
    <col min="13317" max="13317" width="13.25" customWidth="1"/>
    <col min="13318" max="13318" width="10.875" customWidth="1"/>
    <col min="13319" max="13319" width="13" customWidth="1"/>
    <col min="13320" max="13320" width="47.875" customWidth="1"/>
    <col min="13321" max="13321" width="32.25" customWidth="1"/>
    <col min="13322" max="13322" width="11.375" customWidth="1"/>
    <col min="13569" max="13569" width="17.25" customWidth="1"/>
    <col min="13570" max="13570" width="24.375" customWidth="1"/>
    <col min="13571" max="13571" width="27.125" customWidth="1"/>
    <col min="13572" max="13572" width="8.625" customWidth="1"/>
    <col min="13573" max="13573" width="13.25" customWidth="1"/>
    <col min="13574" max="13574" width="10.875" customWidth="1"/>
    <col min="13575" max="13575" width="13" customWidth="1"/>
    <col min="13576" max="13576" width="47.875" customWidth="1"/>
    <col min="13577" max="13577" width="32.25" customWidth="1"/>
    <col min="13578" max="13578" width="11.375" customWidth="1"/>
    <col min="13825" max="13825" width="17.25" customWidth="1"/>
    <col min="13826" max="13826" width="24.375" customWidth="1"/>
    <col min="13827" max="13827" width="27.125" customWidth="1"/>
    <col min="13828" max="13828" width="8.625" customWidth="1"/>
    <col min="13829" max="13829" width="13.25" customWidth="1"/>
    <col min="13830" max="13830" width="10.875" customWidth="1"/>
    <col min="13831" max="13831" width="13" customWidth="1"/>
    <col min="13832" max="13832" width="47.875" customWidth="1"/>
    <col min="13833" max="13833" width="32.25" customWidth="1"/>
    <col min="13834" max="13834" width="11.375" customWidth="1"/>
    <col min="14081" max="14081" width="17.25" customWidth="1"/>
    <col min="14082" max="14082" width="24.375" customWidth="1"/>
    <col min="14083" max="14083" width="27.125" customWidth="1"/>
    <col min="14084" max="14084" width="8.625" customWidth="1"/>
    <col min="14085" max="14085" width="13.25" customWidth="1"/>
    <col min="14086" max="14086" width="10.875" customWidth="1"/>
    <col min="14087" max="14087" width="13" customWidth="1"/>
    <col min="14088" max="14088" width="47.875" customWidth="1"/>
    <col min="14089" max="14089" width="32.25" customWidth="1"/>
    <col min="14090" max="14090" width="11.375" customWidth="1"/>
    <col min="14337" max="14337" width="17.25" customWidth="1"/>
    <col min="14338" max="14338" width="24.375" customWidth="1"/>
    <col min="14339" max="14339" width="27.125" customWidth="1"/>
    <col min="14340" max="14340" width="8.625" customWidth="1"/>
    <col min="14341" max="14341" width="13.25" customWidth="1"/>
    <col min="14342" max="14342" width="10.875" customWidth="1"/>
    <col min="14343" max="14343" width="13" customWidth="1"/>
    <col min="14344" max="14344" width="47.875" customWidth="1"/>
    <col min="14345" max="14345" width="32.25" customWidth="1"/>
    <col min="14346" max="14346" width="11.375" customWidth="1"/>
    <col min="14593" max="14593" width="17.25" customWidth="1"/>
    <col min="14594" max="14594" width="24.375" customWidth="1"/>
    <col min="14595" max="14595" width="27.125" customWidth="1"/>
    <col min="14596" max="14596" width="8.625" customWidth="1"/>
    <col min="14597" max="14597" width="13.25" customWidth="1"/>
    <col min="14598" max="14598" width="10.875" customWidth="1"/>
    <col min="14599" max="14599" width="13" customWidth="1"/>
    <col min="14600" max="14600" width="47.875" customWidth="1"/>
    <col min="14601" max="14601" width="32.25" customWidth="1"/>
    <col min="14602" max="14602" width="11.375" customWidth="1"/>
    <col min="14849" max="14849" width="17.25" customWidth="1"/>
    <col min="14850" max="14850" width="24.375" customWidth="1"/>
    <col min="14851" max="14851" width="27.125" customWidth="1"/>
    <col min="14852" max="14852" width="8.625" customWidth="1"/>
    <col min="14853" max="14853" width="13.25" customWidth="1"/>
    <col min="14854" max="14854" width="10.875" customWidth="1"/>
    <col min="14855" max="14855" width="13" customWidth="1"/>
    <col min="14856" max="14856" width="47.875" customWidth="1"/>
    <col min="14857" max="14857" width="32.25" customWidth="1"/>
    <col min="14858" max="14858" width="11.375" customWidth="1"/>
    <col min="15105" max="15105" width="17.25" customWidth="1"/>
    <col min="15106" max="15106" width="24.375" customWidth="1"/>
    <col min="15107" max="15107" width="27.125" customWidth="1"/>
    <col min="15108" max="15108" width="8.625" customWidth="1"/>
    <col min="15109" max="15109" width="13.25" customWidth="1"/>
    <col min="15110" max="15110" width="10.875" customWidth="1"/>
    <col min="15111" max="15111" width="13" customWidth="1"/>
    <col min="15112" max="15112" width="47.875" customWidth="1"/>
    <col min="15113" max="15113" width="32.25" customWidth="1"/>
    <col min="15114" max="15114" width="11.375" customWidth="1"/>
    <col min="15361" max="15361" width="17.25" customWidth="1"/>
    <col min="15362" max="15362" width="24.375" customWidth="1"/>
    <col min="15363" max="15363" width="27.125" customWidth="1"/>
    <col min="15364" max="15364" width="8.625" customWidth="1"/>
    <col min="15365" max="15365" width="13.25" customWidth="1"/>
    <col min="15366" max="15366" width="10.875" customWidth="1"/>
    <col min="15367" max="15367" width="13" customWidth="1"/>
    <col min="15368" max="15368" width="47.875" customWidth="1"/>
    <col min="15369" max="15369" width="32.25" customWidth="1"/>
    <col min="15370" max="15370" width="11.375" customWidth="1"/>
    <col min="15617" max="15617" width="17.25" customWidth="1"/>
    <col min="15618" max="15618" width="24.375" customWidth="1"/>
    <col min="15619" max="15619" width="27.125" customWidth="1"/>
    <col min="15620" max="15620" width="8.625" customWidth="1"/>
    <col min="15621" max="15621" width="13.25" customWidth="1"/>
    <col min="15622" max="15622" width="10.875" customWidth="1"/>
    <col min="15623" max="15623" width="13" customWidth="1"/>
    <col min="15624" max="15624" width="47.875" customWidth="1"/>
    <col min="15625" max="15625" width="32.25" customWidth="1"/>
    <col min="15626" max="15626" width="11.375" customWidth="1"/>
    <col min="15873" max="15873" width="17.25" customWidth="1"/>
    <col min="15874" max="15874" width="24.375" customWidth="1"/>
    <col min="15875" max="15875" width="27.125" customWidth="1"/>
    <col min="15876" max="15876" width="8.625" customWidth="1"/>
    <col min="15877" max="15877" width="13.25" customWidth="1"/>
    <col min="15878" max="15878" width="10.875" customWidth="1"/>
    <col min="15879" max="15879" width="13" customWidth="1"/>
    <col min="15880" max="15880" width="47.875" customWidth="1"/>
    <col min="15881" max="15881" width="32.25" customWidth="1"/>
    <col min="15882" max="15882" width="11.375" customWidth="1"/>
    <col min="16129" max="16129" width="17.25" customWidth="1"/>
    <col min="16130" max="16130" width="24.375" customWidth="1"/>
    <col min="16131" max="16131" width="27.125" customWidth="1"/>
    <col min="16132" max="16132" width="8.625" customWidth="1"/>
    <col min="16133" max="16133" width="13.25" customWidth="1"/>
    <col min="16134" max="16134" width="10.875" customWidth="1"/>
    <col min="16135" max="16135" width="13" customWidth="1"/>
    <col min="16136" max="16136" width="47.875" customWidth="1"/>
    <col min="16137" max="16137" width="32.25" customWidth="1"/>
    <col min="16138" max="16138" width="11.375" customWidth="1"/>
  </cols>
  <sheetData>
    <row r="1" spans="1:16" ht="18.75" x14ac:dyDescent="0.3">
      <c r="A1" s="81" t="s">
        <v>72</v>
      </c>
      <c r="B1" s="78"/>
      <c r="C1" s="78"/>
      <c r="D1" s="78"/>
      <c r="E1" s="78"/>
      <c r="F1" s="78"/>
      <c r="G1" s="78"/>
      <c r="H1" s="78"/>
      <c r="I1" s="78"/>
      <c r="J1" s="78"/>
      <c r="K1" s="56"/>
    </row>
    <row r="2" spans="1:16" ht="16.5" thickBo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6" ht="36" customHeight="1" thickBot="1" x14ac:dyDescent="0.3">
      <c r="A3" s="57" t="s">
        <v>41</v>
      </c>
      <c r="B3" s="58" t="s">
        <v>42</v>
      </c>
      <c r="C3" s="58" t="s">
        <v>43</v>
      </c>
      <c r="D3" s="58" t="s">
        <v>58</v>
      </c>
      <c r="E3" s="58" t="s">
        <v>44</v>
      </c>
      <c r="F3" s="58" t="s">
        <v>45</v>
      </c>
      <c r="G3" s="58" t="s">
        <v>62</v>
      </c>
      <c r="H3" s="58" t="s">
        <v>51</v>
      </c>
      <c r="I3" s="58" t="s">
        <v>46</v>
      </c>
      <c r="J3" s="59" t="s">
        <v>47</v>
      </c>
      <c r="K3" s="59" t="s">
        <v>48</v>
      </c>
      <c r="M3" s="113" t="s">
        <v>78</v>
      </c>
    </row>
    <row r="4" spans="1:16" ht="15.75" customHeight="1" x14ac:dyDescent="0.25">
      <c r="A4" s="110" t="s">
        <v>23</v>
      </c>
      <c r="B4" s="111">
        <v>45975</v>
      </c>
      <c r="C4" s="65" t="s">
        <v>49</v>
      </c>
      <c r="D4" s="65"/>
      <c r="E4" s="112">
        <v>10</v>
      </c>
      <c r="F4" s="61">
        <v>0.79166666666666663</v>
      </c>
      <c r="G4" s="61"/>
      <c r="H4" s="61">
        <v>0.81874999999999998</v>
      </c>
      <c r="I4" s="61">
        <v>0.91666666666666663</v>
      </c>
      <c r="J4" s="84" t="s">
        <v>79</v>
      </c>
      <c r="K4" s="68"/>
      <c r="M4" s="114"/>
    </row>
    <row r="5" spans="1:16" ht="123.75" customHeight="1" x14ac:dyDescent="0.25">
      <c r="A5" s="69" t="s">
        <v>22</v>
      </c>
      <c r="B5" s="73">
        <v>45997</v>
      </c>
      <c r="C5" s="60" t="s">
        <v>49</v>
      </c>
      <c r="D5" s="82"/>
      <c r="E5" s="70">
        <v>10</v>
      </c>
      <c r="F5" s="71">
        <v>0.375</v>
      </c>
      <c r="G5" s="71">
        <v>0.41319444444444442</v>
      </c>
      <c r="H5" s="71">
        <v>0.58750000000000002</v>
      </c>
      <c r="I5" s="71">
        <v>0.75</v>
      </c>
      <c r="J5" s="72" t="s">
        <v>87</v>
      </c>
      <c r="K5" s="63"/>
      <c r="M5" s="115">
        <f>22*6*0.6</f>
        <v>79.2</v>
      </c>
      <c r="P5">
        <f>226/28</f>
        <v>8.0714285714285712</v>
      </c>
    </row>
    <row r="6" spans="1:16" ht="116.25" customHeight="1" x14ac:dyDescent="0.25">
      <c r="A6" s="64" t="s">
        <v>22</v>
      </c>
      <c r="B6" s="75">
        <v>46004</v>
      </c>
      <c r="C6" s="65" t="s">
        <v>49</v>
      </c>
      <c r="D6" s="109" t="s">
        <v>63</v>
      </c>
      <c r="E6" s="66">
        <v>10</v>
      </c>
      <c r="F6" s="61">
        <v>0.375</v>
      </c>
      <c r="G6" s="61">
        <v>0.41319444444444442</v>
      </c>
      <c r="H6" s="61">
        <v>0.58750000000000002</v>
      </c>
      <c r="I6" s="61">
        <v>0.75</v>
      </c>
      <c r="J6" s="68" t="s">
        <v>88</v>
      </c>
      <c r="K6" s="79"/>
      <c r="M6" s="116">
        <f>32*6*0.6</f>
        <v>115.19999999999999</v>
      </c>
    </row>
    <row r="7" spans="1:16" ht="120" customHeight="1" x14ac:dyDescent="0.25">
      <c r="A7" s="69" t="s">
        <v>22</v>
      </c>
      <c r="B7" s="73">
        <v>46011</v>
      </c>
      <c r="C7" s="60" t="s">
        <v>49</v>
      </c>
      <c r="D7" s="82" t="s">
        <v>64</v>
      </c>
      <c r="E7" s="70">
        <v>10</v>
      </c>
      <c r="F7" s="71">
        <v>0.375</v>
      </c>
      <c r="G7" s="71">
        <v>0.41319444444444442</v>
      </c>
      <c r="H7" s="71">
        <v>0.58750000000000002</v>
      </c>
      <c r="I7" s="71">
        <v>0.75</v>
      </c>
      <c r="J7" s="72" t="s">
        <v>82</v>
      </c>
      <c r="K7" s="63"/>
      <c r="M7" s="115">
        <f>26*6*0.6</f>
        <v>93.6</v>
      </c>
      <c r="P7">
        <f>22+21+10+16+30+45+20+20+40</f>
        <v>224</v>
      </c>
    </row>
    <row r="8" spans="1:16" ht="41.25" customHeight="1" x14ac:dyDescent="0.25">
      <c r="A8" s="64" t="s">
        <v>74</v>
      </c>
      <c r="B8" s="75">
        <v>46022</v>
      </c>
      <c r="C8" s="65" t="s">
        <v>49</v>
      </c>
      <c r="D8" s="65"/>
      <c r="E8" s="66"/>
      <c r="F8" s="61">
        <v>0.41666666666666669</v>
      </c>
      <c r="G8" s="61"/>
      <c r="H8" s="61">
        <v>0.41666666666666669</v>
      </c>
      <c r="I8" s="61">
        <v>0.54166666666666663</v>
      </c>
      <c r="J8" s="67" t="s">
        <v>86</v>
      </c>
      <c r="K8" s="79"/>
      <c r="M8" s="116"/>
    </row>
    <row r="9" spans="1:16" ht="100.5" customHeight="1" x14ac:dyDescent="0.25">
      <c r="A9" s="69" t="s">
        <v>22</v>
      </c>
      <c r="B9" s="73">
        <v>46025</v>
      </c>
      <c r="C9" s="60" t="s">
        <v>49</v>
      </c>
      <c r="D9" s="82" t="s">
        <v>59</v>
      </c>
      <c r="E9" s="70">
        <v>10</v>
      </c>
      <c r="F9" s="71">
        <v>0.375</v>
      </c>
      <c r="G9" s="71">
        <v>0.41319444444444442</v>
      </c>
      <c r="H9" s="71">
        <v>0.58750000000000002</v>
      </c>
      <c r="I9" s="71">
        <v>0.75</v>
      </c>
      <c r="J9" s="74" t="s">
        <v>89</v>
      </c>
      <c r="K9" s="72"/>
      <c r="M9" s="117">
        <f>27*6*0.6</f>
        <v>97.2</v>
      </c>
    </row>
    <row r="10" spans="1:16" ht="41.25" customHeight="1" x14ac:dyDescent="0.25">
      <c r="A10" s="64" t="s">
        <v>22</v>
      </c>
      <c r="B10" s="75">
        <v>46032</v>
      </c>
      <c r="C10" s="65" t="s">
        <v>49</v>
      </c>
      <c r="D10" s="109" t="s">
        <v>60</v>
      </c>
      <c r="E10" s="66">
        <v>10</v>
      </c>
      <c r="F10" s="61">
        <v>0.375</v>
      </c>
      <c r="G10" s="61">
        <v>0.41319444444444442</v>
      </c>
      <c r="H10" s="61">
        <v>8.7499999999999994E-2</v>
      </c>
      <c r="I10" s="61">
        <v>0.75</v>
      </c>
      <c r="J10" s="67" t="s">
        <v>83</v>
      </c>
      <c r="K10" s="79"/>
      <c r="M10" s="116">
        <f>42*6*0.6</f>
        <v>151.19999999999999</v>
      </c>
    </row>
    <row r="11" spans="1:16" ht="78.75" customHeight="1" x14ac:dyDescent="0.25">
      <c r="A11" s="69" t="s">
        <v>22</v>
      </c>
      <c r="B11" s="73">
        <v>46039</v>
      </c>
      <c r="C11" s="60" t="s">
        <v>53</v>
      </c>
      <c r="D11" s="82" t="s">
        <v>90</v>
      </c>
      <c r="E11" s="70"/>
      <c r="F11" s="71">
        <v>0.54166666666666663</v>
      </c>
      <c r="G11" s="71" t="s">
        <v>81</v>
      </c>
      <c r="H11" s="71">
        <v>0.59027777777777779</v>
      </c>
      <c r="I11" s="71">
        <v>0.73958333333333337</v>
      </c>
      <c r="J11" s="74" t="s">
        <v>80</v>
      </c>
      <c r="K11" s="63"/>
      <c r="M11" s="115"/>
    </row>
    <row r="12" spans="1:16" ht="31.5" x14ac:dyDescent="0.25">
      <c r="A12" s="64" t="s">
        <v>50</v>
      </c>
      <c r="B12" s="75" t="s">
        <v>73</v>
      </c>
      <c r="C12" s="65" t="s">
        <v>66</v>
      </c>
      <c r="D12" s="83"/>
      <c r="E12" s="66"/>
      <c r="F12" s="61"/>
      <c r="G12" s="61"/>
      <c r="H12" s="61"/>
      <c r="I12" s="61"/>
      <c r="J12" s="67" t="s">
        <v>54</v>
      </c>
      <c r="K12" s="79"/>
      <c r="M12" s="116"/>
    </row>
    <row r="13" spans="1:16" ht="48.75" customHeight="1" x14ac:dyDescent="0.25">
      <c r="A13" s="100" t="s">
        <v>69</v>
      </c>
      <c r="B13" s="98">
        <v>46044</v>
      </c>
      <c r="C13" s="101" t="s">
        <v>76</v>
      </c>
      <c r="D13" s="102"/>
      <c r="E13" s="103"/>
      <c r="F13" s="99">
        <v>0.66666666666666663</v>
      </c>
      <c r="G13" s="99"/>
      <c r="H13" s="99">
        <v>0.70833333333333337</v>
      </c>
      <c r="I13" s="99" t="s">
        <v>70</v>
      </c>
      <c r="J13" s="104" t="s">
        <v>71</v>
      </c>
      <c r="K13" s="105"/>
      <c r="M13" s="118"/>
    </row>
    <row r="14" spans="1:16" ht="34.9" customHeight="1" x14ac:dyDescent="0.25">
      <c r="A14" s="76" t="s">
        <v>22</v>
      </c>
      <c r="B14" s="73">
        <v>46046</v>
      </c>
      <c r="C14" s="80" t="s">
        <v>49</v>
      </c>
      <c r="D14" s="85"/>
      <c r="E14" s="77">
        <v>10</v>
      </c>
      <c r="F14" s="71">
        <v>0.41666666666666669</v>
      </c>
      <c r="G14" s="71">
        <v>0.4548611111111111</v>
      </c>
      <c r="H14" s="71">
        <v>0.58750000000000002</v>
      </c>
      <c r="I14" s="71">
        <v>0.75</v>
      </c>
      <c r="J14" s="62" t="s">
        <v>84</v>
      </c>
      <c r="K14" s="72"/>
      <c r="M14" s="117">
        <f>24*6*0.6</f>
        <v>86.399999999999991</v>
      </c>
    </row>
    <row r="15" spans="1:16" ht="36" customHeight="1" x14ac:dyDescent="0.25">
      <c r="A15" s="94" t="s">
        <v>22</v>
      </c>
      <c r="B15" s="75">
        <v>46053</v>
      </c>
      <c r="C15" s="95" t="s">
        <v>49</v>
      </c>
      <c r="D15" s="96" t="s">
        <v>61</v>
      </c>
      <c r="E15" s="97">
        <v>10</v>
      </c>
      <c r="F15" s="61">
        <v>0.375</v>
      </c>
      <c r="G15" s="61">
        <v>0.41319444444444442</v>
      </c>
      <c r="H15" s="61">
        <v>8.7499999999999994E-2</v>
      </c>
      <c r="I15" s="61">
        <v>0.75</v>
      </c>
      <c r="J15" s="84" t="s">
        <v>85</v>
      </c>
      <c r="K15" s="79"/>
      <c r="M15" s="116">
        <f>17*11*0.6</f>
        <v>112.2</v>
      </c>
    </row>
    <row r="16" spans="1:16" x14ac:dyDescent="0.25">
      <c r="A16" s="86" t="s">
        <v>22</v>
      </c>
      <c r="B16" s="73">
        <v>45695</v>
      </c>
      <c r="C16" s="80" t="s">
        <v>49</v>
      </c>
      <c r="D16" s="85" t="s">
        <v>67</v>
      </c>
      <c r="E16" s="77">
        <v>10</v>
      </c>
      <c r="F16" s="71">
        <v>0.375</v>
      </c>
      <c r="G16" s="71">
        <v>0.41319444444444442</v>
      </c>
      <c r="H16" s="71">
        <v>8.7499999999999994E-2</v>
      </c>
      <c r="I16" s="71">
        <v>0.75</v>
      </c>
      <c r="J16" s="62" t="s">
        <v>65</v>
      </c>
      <c r="K16" s="72"/>
      <c r="M16" s="117">
        <f>22*11*0.6</f>
        <v>145.19999999999999</v>
      </c>
    </row>
    <row r="17" spans="1:13" ht="47.25" x14ac:dyDescent="0.25">
      <c r="A17" s="94" t="s">
        <v>68</v>
      </c>
      <c r="B17" s="75" t="s">
        <v>75</v>
      </c>
      <c r="C17" s="106" t="s">
        <v>77</v>
      </c>
      <c r="D17" s="106"/>
      <c r="E17" s="107">
        <v>10</v>
      </c>
      <c r="F17" s="61"/>
      <c r="G17" s="61"/>
      <c r="H17" s="61"/>
      <c r="I17" s="61"/>
      <c r="J17" s="108" t="s">
        <v>52</v>
      </c>
      <c r="K17" s="68"/>
      <c r="M17" s="114"/>
    </row>
    <row r="18" spans="1:13" ht="32.25" thickBot="1" x14ac:dyDescent="0.3">
      <c r="A18" s="87" t="s">
        <v>55</v>
      </c>
      <c r="B18" s="88">
        <v>46082</v>
      </c>
      <c r="C18" s="89" t="s">
        <v>56</v>
      </c>
      <c r="D18" s="89"/>
      <c r="E18" s="90"/>
      <c r="F18" s="91">
        <v>0.58333333333333337</v>
      </c>
      <c r="G18" s="91"/>
      <c r="H18" s="91"/>
      <c r="I18" s="91">
        <v>0.70833333333333337</v>
      </c>
      <c r="J18" s="92" t="s">
        <v>57</v>
      </c>
      <c r="K18" s="93"/>
      <c r="M18" s="119"/>
    </row>
    <row r="19" spans="1:13" x14ac:dyDescent="0.25">
      <c r="A19" s="2"/>
      <c r="B19" s="52"/>
      <c r="C19" s="2"/>
      <c r="D19" s="2"/>
      <c r="E19" s="2"/>
      <c r="F19" s="5"/>
      <c r="G19" s="5"/>
      <c r="H19" s="5"/>
      <c r="I19" s="5"/>
      <c r="J19" s="53"/>
      <c r="K19" s="54"/>
    </row>
  </sheetData>
  <pageMargins left="0.7" right="0.7" top="0.75" bottom="0.75" header="0.3" footer="0.3"/>
  <pageSetup scale="5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activeCell="C8" sqref="C8"/>
    </sheetView>
  </sheetViews>
  <sheetFormatPr defaultRowHeight="15.75" x14ac:dyDescent="0.25"/>
  <cols>
    <col min="1" max="1" width="15" customWidth="1"/>
    <col min="2" max="2" width="17.75" customWidth="1"/>
    <col min="3" max="3" width="13.125" customWidth="1"/>
    <col min="4" max="4" width="12.625" customWidth="1"/>
    <col min="5" max="5" width="10.25" customWidth="1"/>
    <col min="6" max="6" width="13.625" customWidth="1"/>
    <col min="7" max="7" width="16.125" customWidth="1"/>
    <col min="8" max="8" width="15.625" customWidth="1"/>
  </cols>
  <sheetData>
    <row r="1" spans="1:8" ht="18.75" x14ac:dyDescent="0.3">
      <c r="A1" s="51" t="s">
        <v>29</v>
      </c>
    </row>
    <row r="2" spans="1:8" ht="18.75" x14ac:dyDescent="0.3">
      <c r="A2" s="51" t="s">
        <v>30</v>
      </c>
    </row>
    <row r="3" spans="1:8" ht="17.25" customHeight="1" x14ac:dyDescent="0.25"/>
    <row r="4" spans="1:8" x14ac:dyDescent="0.25">
      <c r="A4" s="120" t="s">
        <v>19</v>
      </c>
      <c r="B4" s="120"/>
      <c r="C4" s="120"/>
      <c r="D4" s="120"/>
      <c r="E4" s="120"/>
      <c r="F4" s="120"/>
      <c r="G4" s="120"/>
      <c r="H4" s="120"/>
    </row>
    <row r="5" spans="1:8" x14ac:dyDescent="0.25">
      <c r="A5" s="37" t="s">
        <v>4</v>
      </c>
      <c r="B5" s="38" t="s">
        <v>3</v>
      </c>
      <c r="C5" s="38" t="s">
        <v>0</v>
      </c>
      <c r="D5" s="38" t="s">
        <v>1</v>
      </c>
      <c r="E5" s="38" t="s">
        <v>2</v>
      </c>
      <c r="F5" s="38" t="s">
        <v>6</v>
      </c>
      <c r="G5" s="38" t="s">
        <v>7</v>
      </c>
      <c r="H5" s="38" t="s">
        <v>10</v>
      </c>
    </row>
    <row r="6" spans="1:8" ht="31.5" x14ac:dyDescent="0.25">
      <c r="A6" s="19" t="s">
        <v>9</v>
      </c>
      <c r="B6" s="20" t="s">
        <v>5</v>
      </c>
      <c r="C6" s="21">
        <v>42681</v>
      </c>
      <c r="D6" s="21">
        <v>42695</v>
      </c>
      <c r="E6" s="22">
        <v>13</v>
      </c>
      <c r="F6" s="23">
        <v>0.28125</v>
      </c>
      <c r="G6" s="23">
        <v>0.32291666666666669</v>
      </c>
      <c r="H6" s="24" t="s">
        <v>11</v>
      </c>
    </row>
    <row r="7" spans="1:8" ht="31.5" x14ac:dyDescent="0.25">
      <c r="A7" s="25" t="s">
        <v>9</v>
      </c>
      <c r="B7" s="26" t="s">
        <v>8</v>
      </c>
      <c r="C7" s="27">
        <v>42677</v>
      </c>
      <c r="D7" s="27">
        <v>42696</v>
      </c>
      <c r="E7" s="28">
        <v>13</v>
      </c>
      <c r="F7" s="29">
        <v>0.27083333333333331</v>
      </c>
      <c r="G7" s="29">
        <v>0.3125</v>
      </c>
      <c r="H7" s="30" t="s">
        <v>12</v>
      </c>
    </row>
    <row r="8" spans="1:8" ht="31.5" x14ac:dyDescent="0.25">
      <c r="A8" s="7" t="s">
        <v>13</v>
      </c>
      <c r="B8" s="8" t="s">
        <v>5</v>
      </c>
      <c r="C8" s="9">
        <v>42702</v>
      </c>
      <c r="D8" s="9">
        <v>42723</v>
      </c>
      <c r="E8" s="10">
        <v>13</v>
      </c>
      <c r="F8" s="11">
        <v>0.28125</v>
      </c>
      <c r="G8" s="11">
        <v>0.32291666666666669</v>
      </c>
      <c r="H8" s="12" t="s">
        <v>11</v>
      </c>
    </row>
    <row r="9" spans="1:8" ht="31.5" x14ac:dyDescent="0.25">
      <c r="A9" s="13" t="s">
        <v>13</v>
      </c>
      <c r="B9" s="14" t="s">
        <v>8</v>
      </c>
      <c r="C9" s="15">
        <v>42703</v>
      </c>
      <c r="D9" s="15">
        <v>42724</v>
      </c>
      <c r="E9" s="16">
        <v>13</v>
      </c>
      <c r="F9" s="17">
        <v>0.27083333333333331</v>
      </c>
      <c r="G9" s="17">
        <v>0.3125</v>
      </c>
      <c r="H9" s="18" t="s">
        <v>12</v>
      </c>
    </row>
    <row r="10" spans="1:8" ht="31.5" x14ac:dyDescent="0.25">
      <c r="A10" s="19" t="s">
        <v>14</v>
      </c>
      <c r="B10" s="20" t="s">
        <v>15</v>
      </c>
      <c r="C10" s="21">
        <v>42726</v>
      </c>
      <c r="D10" s="21">
        <v>42733</v>
      </c>
      <c r="E10" s="22">
        <v>8</v>
      </c>
      <c r="F10" s="23">
        <v>0.41666666666666669</v>
      </c>
      <c r="G10" s="23">
        <v>0.47916666666666669</v>
      </c>
      <c r="H10" s="24" t="s">
        <v>28</v>
      </c>
    </row>
    <row r="11" spans="1:8" ht="31.5" x14ac:dyDescent="0.25">
      <c r="A11" s="31" t="s">
        <v>14</v>
      </c>
      <c r="B11" s="32" t="s">
        <v>16</v>
      </c>
      <c r="C11" s="33">
        <v>42731</v>
      </c>
      <c r="D11" s="33">
        <v>42738</v>
      </c>
      <c r="E11" s="34">
        <v>8</v>
      </c>
      <c r="F11" s="35">
        <v>0.41666666666666669</v>
      </c>
      <c r="G11" s="35">
        <v>0.47916666666666669</v>
      </c>
      <c r="H11" s="36" t="s">
        <v>28</v>
      </c>
    </row>
    <row r="12" spans="1:8" ht="31.5" x14ac:dyDescent="0.25">
      <c r="A12" s="25" t="s">
        <v>14</v>
      </c>
      <c r="B12" s="26" t="s">
        <v>5</v>
      </c>
      <c r="C12" s="27">
        <v>42737</v>
      </c>
      <c r="D12" s="27">
        <v>42737</v>
      </c>
      <c r="E12" s="28">
        <v>9</v>
      </c>
      <c r="F12" s="29">
        <v>0.41666666666666669</v>
      </c>
      <c r="G12" s="29">
        <v>0.47916666666666669</v>
      </c>
      <c r="H12" s="30" t="s">
        <v>28</v>
      </c>
    </row>
    <row r="13" spans="1:8" ht="31.5" x14ac:dyDescent="0.25">
      <c r="A13" s="7" t="s">
        <v>17</v>
      </c>
      <c r="B13" s="8" t="s">
        <v>5</v>
      </c>
      <c r="C13" s="9">
        <v>42744</v>
      </c>
      <c r="D13" s="9">
        <v>42758</v>
      </c>
      <c r="E13" s="10">
        <v>13</v>
      </c>
      <c r="F13" s="11">
        <v>0.28125</v>
      </c>
      <c r="G13" s="11">
        <v>0.32291666666666669</v>
      </c>
      <c r="H13" s="12" t="s">
        <v>11</v>
      </c>
    </row>
    <row r="14" spans="1:8" ht="31.5" x14ac:dyDescent="0.25">
      <c r="A14" s="13" t="s">
        <v>17</v>
      </c>
      <c r="B14" s="14" t="s">
        <v>8</v>
      </c>
      <c r="C14" s="15">
        <v>42740</v>
      </c>
      <c r="D14" s="15">
        <v>42761</v>
      </c>
      <c r="E14" s="16">
        <v>13</v>
      </c>
      <c r="F14" s="17">
        <v>0.27083333333333331</v>
      </c>
      <c r="G14" s="17">
        <v>0.3125</v>
      </c>
      <c r="H14" s="18" t="s">
        <v>12</v>
      </c>
    </row>
    <row r="15" spans="1:8" ht="31.5" x14ac:dyDescent="0.25">
      <c r="A15" s="19" t="s">
        <v>18</v>
      </c>
      <c r="B15" s="20" t="s">
        <v>5</v>
      </c>
      <c r="C15" s="21">
        <v>42765</v>
      </c>
      <c r="D15" s="21">
        <v>42779</v>
      </c>
      <c r="E15" s="22">
        <v>8</v>
      </c>
      <c r="F15" s="23">
        <v>0.28125</v>
      </c>
      <c r="G15" s="23">
        <v>0.32291666666666669</v>
      </c>
      <c r="H15" s="24" t="s">
        <v>11</v>
      </c>
    </row>
    <row r="16" spans="1:8" ht="31.5" x14ac:dyDescent="0.25">
      <c r="A16" s="25" t="s">
        <v>18</v>
      </c>
      <c r="B16" s="26" t="s">
        <v>8</v>
      </c>
      <c r="C16" s="27">
        <v>42766</v>
      </c>
      <c r="D16" s="27">
        <v>42780</v>
      </c>
      <c r="E16" s="28">
        <v>8</v>
      </c>
      <c r="F16" s="29">
        <v>0.27083333333333331</v>
      </c>
      <c r="G16" s="29">
        <v>0.3125</v>
      </c>
      <c r="H16" s="30" t="s">
        <v>12</v>
      </c>
    </row>
    <row r="17" spans="1:8" x14ac:dyDescent="0.25">
      <c r="A17" s="1"/>
      <c r="B17" s="2"/>
      <c r="C17" s="3"/>
      <c r="D17" s="3"/>
      <c r="E17" s="4"/>
      <c r="F17" s="5"/>
      <c r="G17" s="5"/>
      <c r="H17" s="6"/>
    </row>
    <row r="18" spans="1:8" x14ac:dyDescent="0.25">
      <c r="A18" s="120" t="s">
        <v>20</v>
      </c>
      <c r="B18" s="120"/>
      <c r="C18" s="120"/>
      <c r="D18" s="120"/>
      <c r="E18" s="120"/>
      <c r="F18" s="120"/>
      <c r="G18" s="120"/>
      <c r="H18" s="120"/>
    </row>
    <row r="19" spans="1:8" x14ac:dyDescent="0.25">
      <c r="A19" s="37" t="s">
        <v>4</v>
      </c>
      <c r="B19" s="38" t="s">
        <v>3</v>
      </c>
      <c r="C19" s="38" t="s">
        <v>0</v>
      </c>
      <c r="D19" s="38" t="s">
        <v>1</v>
      </c>
      <c r="E19" s="38" t="s">
        <v>2</v>
      </c>
      <c r="F19" s="38" t="s">
        <v>6</v>
      </c>
      <c r="G19" s="38" t="s">
        <v>7</v>
      </c>
      <c r="H19" s="38" t="s">
        <v>10</v>
      </c>
    </row>
    <row r="20" spans="1:8" ht="31.5" x14ac:dyDescent="0.25">
      <c r="A20" s="19" t="s">
        <v>21</v>
      </c>
      <c r="B20" s="20" t="s">
        <v>23</v>
      </c>
      <c r="C20" s="21">
        <v>42706</v>
      </c>
      <c r="D20" s="21">
        <v>42706</v>
      </c>
      <c r="E20" s="22">
        <v>13</v>
      </c>
      <c r="F20" s="23">
        <v>0.70833333333333337</v>
      </c>
      <c r="G20" s="23">
        <v>0.83333333333333337</v>
      </c>
      <c r="H20" s="24" t="s">
        <v>27</v>
      </c>
    </row>
    <row r="21" spans="1:8" ht="47.25" x14ac:dyDescent="0.25">
      <c r="A21" s="7" t="s">
        <v>24</v>
      </c>
      <c r="B21" s="8" t="s">
        <v>22</v>
      </c>
      <c r="C21" s="9">
        <v>42721</v>
      </c>
      <c r="D21" s="9">
        <v>42721</v>
      </c>
      <c r="E21" s="10">
        <v>13</v>
      </c>
      <c r="F21" s="11">
        <v>0.28125</v>
      </c>
      <c r="G21" s="11">
        <v>0.32291666666666669</v>
      </c>
      <c r="H21" s="12" t="s">
        <v>27</v>
      </c>
    </row>
    <row r="22" spans="1:8" ht="31.5" x14ac:dyDescent="0.25">
      <c r="A22" s="39" t="s">
        <v>25</v>
      </c>
      <c r="B22" s="40" t="s">
        <v>22</v>
      </c>
      <c r="C22" s="41">
        <v>42735</v>
      </c>
      <c r="D22" s="41">
        <v>42735</v>
      </c>
      <c r="E22" s="42">
        <v>8</v>
      </c>
      <c r="F22" s="43">
        <v>0.41666666666666669</v>
      </c>
      <c r="G22" s="43">
        <v>0.5</v>
      </c>
      <c r="H22" s="44"/>
    </row>
    <row r="23" spans="1:8" ht="31.5" x14ac:dyDescent="0.25">
      <c r="A23" s="45" t="s">
        <v>26</v>
      </c>
      <c r="B23" s="46" t="s">
        <v>22</v>
      </c>
      <c r="C23" s="47">
        <v>42756</v>
      </c>
      <c r="D23" s="47">
        <v>42756</v>
      </c>
      <c r="E23" s="48">
        <v>13</v>
      </c>
      <c r="F23" s="49">
        <v>0.54166666666666663</v>
      </c>
      <c r="G23" s="49">
        <v>0.70833333333333337</v>
      </c>
      <c r="H23" s="50" t="s">
        <v>27</v>
      </c>
    </row>
    <row r="24" spans="1:8" x14ac:dyDescent="0.25">
      <c r="C24" s="3"/>
      <c r="D24" s="3"/>
      <c r="E24" s="4"/>
      <c r="F24" s="5"/>
      <c r="G24" s="5"/>
      <c r="H24" s="6"/>
    </row>
    <row r="25" spans="1:8" x14ac:dyDescent="0.25">
      <c r="C25" s="3"/>
      <c r="D25" s="3"/>
      <c r="E25" s="4"/>
      <c r="F25" s="5"/>
      <c r="G25" s="5"/>
      <c r="H25" s="6"/>
    </row>
    <row r="26" spans="1:8" x14ac:dyDescent="0.25">
      <c r="C26" s="3"/>
      <c r="D26" s="3"/>
      <c r="E26" s="4"/>
      <c r="F26" s="5"/>
      <c r="G26" s="5"/>
      <c r="H26" s="6"/>
    </row>
    <row r="27" spans="1:8" x14ac:dyDescent="0.25">
      <c r="C27" s="3"/>
      <c r="D27" s="3"/>
      <c r="E27" s="4"/>
      <c r="F27" s="5"/>
      <c r="G27" s="5"/>
      <c r="H27" s="6"/>
    </row>
    <row r="28" spans="1:8" x14ac:dyDescent="0.25">
      <c r="C28" s="3"/>
      <c r="D28" s="3"/>
      <c r="E28" s="4"/>
      <c r="F28" s="5"/>
      <c r="G28" s="5"/>
      <c r="H28" s="6"/>
    </row>
    <row r="29" spans="1:8" x14ac:dyDescent="0.25">
      <c r="C29" s="3"/>
      <c r="D29" s="3"/>
      <c r="E29" s="4"/>
      <c r="F29" s="5"/>
      <c r="G29" s="5"/>
      <c r="H29" s="6"/>
    </row>
    <row r="30" spans="1:8" x14ac:dyDescent="0.25">
      <c r="C30" s="3"/>
      <c r="D30" s="3"/>
      <c r="E30" s="4"/>
      <c r="F30" s="5"/>
      <c r="G30" s="5"/>
      <c r="H30" s="6"/>
    </row>
    <row r="31" spans="1:8" x14ac:dyDescent="0.25">
      <c r="C31" s="3"/>
      <c r="D31" s="3"/>
      <c r="E31" s="4"/>
      <c r="F31" s="5"/>
      <c r="G31" s="5"/>
      <c r="H31" s="6"/>
    </row>
    <row r="32" spans="1:8" x14ac:dyDescent="0.25">
      <c r="C32" s="3"/>
      <c r="D32" s="3"/>
      <c r="E32" s="4"/>
      <c r="F32" s="5"/>
      <c r="G32" s="5"/>
      <c r="H32" s="6"/>
    </row>
    <row r="33" spans="3:8" x14ac:dyDescent="0.25">
      <c r="C33" s="3"/>
      <c r="D33" s="3"/>
      <c r="E33" s="4"/>
      <c r="F33" s="5"/>
      <c r="G33" s="5"/>
      <c r="H33" s="6"/>
    </row>
    <row r="34" spans="3:8" x14ac:dyDescent="0.25">
      <c r="C34" s="3"/>
      <c r="D34" s="3"/>
      <c r="E34" s="4"/>
      <c r="F34" s="5"/>
      <c r="G34" s="5"/>
      <c r="H34" s="6"/>
    </row>
  </sheetData>
  <mergeCells count="2">
    <mergeCell ref="A4:H4"/>
    <mergeCell ref="A18:H18"/>
  </mergeCells>
  <pageMargins left="0.7" right="0.7" top="0.25" bottom="0.2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A9" sqref="A9:XFD9"/>
    </sheetView>
  </sheetViews>
  <sheetFormatPr defaultRowHeight="15.75" x14ac:dyDescent="0.25"/>
  <cols>
    <col min="1" max="1" width="15" customWidth="1"/>
    <col min="2" max="2" width="17.75" customWidth="1"/>
    <col min="3" max="3" width="13.125" customWidth="1"/>
    <col min="4" max="4" width="12.625" customWidth="1"/>
    <col min="5" max="5" width="10.25" customWidth="1"/>
    <col min="6" max="6" width="13.625" customWidth="1"/>
    <col min="7" max="7" width="16.125" customWidth="1"/>
    <col min="8" max="8" width="15.625" customWidth="1"/>
  </cols>
  <sheetData>
    <row r="1" spans="1:8" ht="18.75" x14ac:dyDescent="0.3">
      <c r="A1" s="51" t="s">
        <v>31</v>
      </c>
    </row>
    <row r="2" spans="1:8" ht="18.75" x14ac:dyDescent="0.3">
      <c r="A2" s="51" t="s">
        <v>30</v>
      </c>
    </row>
    <row r="3" spans="1:8" x14ac:dyDescent="0.25">
      <c r="A3" s="1"/>
      <c r="B3" s="2"/>
      <c r="C3" s="3"/>
      <c r="D3" s="3"/>
      <c r="E3" s="4"/>
      <c r="F3" s="5"/>
      <c r="G3" s="5"/>
      <c r="H3" s="6"/>
    </row>
    <row r="4" spans="1:8" x14ac:dyDescent="0.25">
      <c r="A4" s="120" t="s">
        <v>20</v>
      </c>
      <c r="B4" s="120"/>
      <c r="C4" s="120"/>
      <c r="D4" s="120"/>
      <c r="E4" s="120"/>
      <c r="F4" s="120"/>
      <c r="G4" s="120"/>
      <c r="H4" s="120"/>
    </row>
    <row r="5" spans="1:8" x14ac:dyDescent="0.25">
      <c r="A5" s="37" t="s">
        <v>4</v>
      </c>
      <c r="B5" s="38" t="s">
        <v>3</v>
      </c>
      <c r="C5" s="38" t="s">
        <v>0</v>
      </c>
      <c r="D5" s="38" t="s">
        <v>1</v>
      </c>
      <c r="E5" s="38" t="s">
        <v>2</v>
      </c>
      <c r="F5" s="38" t="s">
        <v>6</v>
      </c>
      <c r="G5" s="38" t="s">
        <v>7</v>
      </c>
      <c r="H5" s="38" t="s">
        <v>10</v>
      </c>
    </row>
    <row r="6" spans="1:8" ht="47.25" x14ac:dyDescent="0.25">
      <c r="A6" s="19" t="s">
        <v>32</v>
      </c>
      <c r="B6" s="20" t="s">
        <v>22</v>
      </c>
      <c r="C6" s="21">
        <v>42749</v>
      </c>
      <c r="D6" s="21">
        <v>42749</v>
      </c>
      <c r="E6" s="22">
        <v>4</v>
      </c>
      <c r="F6" s="23">
        <v>0.54166666666666663</v>
      </c>
      <c r="G6" s="23">
        <v>0.61458333333333337</v>
      </c>
      <c r="H6" s="24" t="s">
        <v>33</v>
      </c>
    </row>
    <row r="7" spans="1:8" ht="63" x14ac:dyDescent="0.25">
      <c r="A7" s="31" t="s">
        <v>34</v>
      </c>
      <c r="B7" s="32" t="s">
        <v>22</v>
      </c>
      <c r="C7" s="33">
        <v>42749</v>
      </c>
      <c r="D7" s="33">
        <v>42749</v>
      </c>
      <c r="E7" s="34">
        <v>14</v>
      </c>
      <c r="F7" s="35">
        <v>0.54166666666666663</v>
      </c>
      <c r="G7" s="35">
        <v>0.8125</v>
      </c>
      <c r="H7" s="36" t="s">
        <v>35</v>
      </c>
    </row>
    <row r="8" spans="1:8" ht="47.25" x14ac:dyDescent="0.25">
      <c r="A8" s="7" t="s">
        <v>36</v>
      </c>
      <c r="B8" s="8" t="s">
        <v>22</v>
      </c>
      <c r="C8" s="9">
        <v>42770</v>
      </c>
      <c r="D8" s="9">
        <v>42770</v>
      </c>
      <c r="E8" s="10">
        <v>14</v>
      </c>
      <c r="F8" s="11">
        <v>0.54166666666666663</v>
      </c>
      <c r="G8" s="11">
        <v>0.75</v>
      </c>
      <c r="H8" s="12" t="s">
        <v>35</v>
      </c>
    </row>
    <row r="9" spans="1:8" x14ac:dyDescent="0.25">
      <c r="C9" s="3"/>
      <c r="D9" s="3"/>
      <c r="E9" s="4"/>
      <c r="F9" s="5"/>
      <c r="G9" s="5"/>
      <c r="H9" s="6"/>
    </row>
    <row r="10" spans="1:8" x14ac:dyDescent="0.25">
      <c r="C10" s="3"/>
      <c r="D10" s="3"/>
      <c r="E10" s="4"/>
      <c r="F10" s="5"/>
      <c r="G10" s="5"/>
      <c r="H10" s="6"/>
    </row>
    <row r="11" spans="1:8" x14ac:dyDescent="0.25">
      <c r="C11" s="3"/>
      <c r="D11" s="3"/>
      <c r="E11" s="4"/>
      <c r="F11" s="5"/>
      <c r="G11" s="5"/>
      <c r="H11" s="6"/>
    </row>
    <row r="12" spans="1:8" x14ac:dyDescent="0.25">
      <c r="C12" s="3"/>
      <c r="D12" s="3"/>
      <c r="E12" s="4"/>
      <c r="F12" s="5"/>
      <c r="G12" s="5"/>
      <c r="H12" s="6"/>
    </row>
    <row r="13" spans="1:8" x14ac:dyDescent="0.25">
      <c r="C13" s="3"/>
      <c r="D13" s="3"/>
      <c r="E13" s="4"/>
      <c r="F13" s="5"/>
      <c r="G13" s="5"/>
      <c r="H13" s="6"/>
    </row>
    <row r="14" spans="1:8" x14ac:dyDescent="0.25">
      <c r="C14" s="3"/>
      <c r="D14" s="3"/>
      <c r="E14" s="4"/>
      <c r="F14" s="5"/>
      <c r="G14" s="5"/>
      <c r="H14" s="6"/>
    </row>
    <row r="15" spans="1:8" x14ac:dyDescent="0.25">
      <c r="C15" s="3"/>
      <c r="D15" s="3"/>
      <c r="E15" s="4"/>
      <c r="F15" s="5"/>
      <c r="G15" s="5"/>
      <c r="H15" s="6"/>
    </row>
    <row r="16" spans="1:8" x14ac:dyDescent="0.25">
      <c r="C16" s="3"/>
      <c r="D16" s="3"/>
      <c r="E16" s="4"/>
      <c r="F16" s="5"/>
      <c r="G16" s="5"/>
      <c r="H16" s="6"/>
    </row>
    <row r="17" spans="3:8" x14ac:dyDescent="0.25">
      <c r="C17" s="3"/>
      <c r="D17" s="3"/>
      <c r="E17" s="4"/>
      <c r="F17" s="5"/>
      <c r="G17" s="5"/>
      <c r="H17" s="6"/>
    </row>
    <row r="18" spans="3:8" x14ac:dyDescent="0.25">
      <c r="C18" s="3"/>
      <c r="D18" s="3"/>
      <c r="E18" s="4"/>
      <c r="F18" s="5"/>
      <c r="G18" s="5"/>
      <c r="H18" s="6"/>
    </row>
  </sheetData>
  <mergeCells count="1">
    <mergeCell ref="A4:H4"/>
  </mergeCells>
  <pageMargins left="0.7" right="0.7" top="0.25" bottom="0.2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G9" sqref="G9"/>
    </sheetView>
  </sheetViews>
  <sheetFormatPr defaultRowHeight="15.75" x14ac:dyDescent="0.25"/>
  <cols>
    <col min="1" max="1" width="14.5" customWidth="1"/>
    <col min="2" max="2" width="17.75" customWidth="1"/>
    <col min="3" max="3" width="13.125" customWidth="1"/>
    <col min="4" max="4" width="12.625" customWidth="1"/>
    <col min="5" max="5" width="10.25" customWidth="1"/>
    <col min="6" max="6" width="13.625" customWidth="1"/>
    <col min="7" max="7" width="16.125" customWidth="1"/>
    <col min="8" max="8" width="15.625" customWidth="1"/>
  </cols>
  <sheetData>
    <row r="1" spans="1:8" ht="18.75" x14ac:dyDescent="0.3">
      <c r="A1" s="51" t="s">
        <v>38</v>
      </c>
    </row>
    <row r="2" spans="1:8" ht="18.75" x14ac:dyDescent="0.3">
      <c r="A2" s="51" t="s">
        <v>30</v>
      </c>
    </row>
    <row r="3" spans="1:8" x14ac:dyDescent="0.25">
      <c r="A3" s="1"/>
      <c r="B3" s="2"/>
      <c r="C3" s="3"/>
      <c r="D3" s="3"/>
      <c r="E3" s="4"/>
      <c r="F3" s="5"/>
      <c r="G3" s="5"/>
      <c r="H3" s="6"/>
    </row>
    <row r="4" spans="1:8" x14ac:dyDescent="0.25">
      <c r="A4" s="120" t="s">
        <v>20</v>
      </c>
      <c r="B4" s="120"/>
      <c r="C4" s="120"/>
      <c r="D4" s="120"/>
      <c r="E4" s="120"/>
      <c r="F4" s="120"/>
      <c r="G4" s="120"/>
      <c r="H4" s="120"/>
    </row>
    <row r="5" spans="1:8" x14ac:dyDescent="0.25">
      <c r="A5" s="37" t="s">
        <v>4</v>
      </c>
      <c r="B5" s="38" t="s">
        <v>3</v>
      </c>
      <c r="C5" s="38" t="s">
        <v>0</v>
      </c>
      <c r="D5" s="38" t="s">
        <v>1</v>
      </c>
      <c r="E5" s="38" t="s">
        <v>2</v>
      </c>
      <c r="F5" s="38" t="s">
        <v>6</v>
      </c>
      <c r="G5" s="38" t="s">
        <v>7</v>
      </c>
      <c r="H5" s="38" t="s">
        <v>10</v>
      </c>
    </row>
    <row r="6" spans="1:8" x14ac:dyDescent="0.25">
      <c r="A6" s="19" t="s">
        <v>39</v>
      </c>
      <c r="B6" s="20" t="s">
        <v>23</v>
      </c>
      <c r="C6" s="21">
        <v>42685</v>
      </c>
      <c r="D6" s="21">
        <v>42685</v>
      </c>
      <c r="E6" s="22">
        <v>8</v>
      </c>
      <c r="F6" s="23">
        <v>0.79166666666666663</v>
      </c>
      <c r="G6" s="23">
        <v>0.875</v>
      </c>
      <c r="H6" s="24"/>
    </row>
    <row r="7" spans="1:8" ht="47.25" x14ac:dyDescent="0.25">
      <c r="A7" s="7" t="s">
        <v>40</v>
      </c>
      <c r="B7" s="8" t="s">
        <v>22</v>
      </c>
      <c r="C7" s="9">
        <v>42763</v>
      </c>
      <c r="D7" s="9">
        <v>42763</v>
      </c>
      <c r="E7" s="10">
        <v>11</v>
      </c>
      <c r="F7" s="11">
        <v>0.625</v>
      </c>
      <c r="G7" s="11">
        <v>0.75</v>
      </c>
      <c r="H7" s="12"/>
    </row>
    <row r="8" spans="1:8" ht="47.25" customHeight="1" x14ac:dyDescent="0.25">
      <c r="A8" s="39" t="s">
        <v>37</v>
      </c>
      <c r="B8" s="40" t="s">
        <v>22</v>
      </c>
      <c r="C8" s="41">
        <v>42777</v>
      </c>
      <c r="D8" s="41">
        <v>42777</v>
      </c>
      <c r="E8" s="42">
        <v>11</v>
      </c>
      <c r="F8" s="43">
        <v>0.625</v>
      </c>
      <c r="G8" s="43">
        <v>0.83333333333333337</v>
      </c>
      <c r="H8" s="44"/>
    </row>
    <row r="9" spans="1:8" x14ac:dyDescent="0.25">
      <c r="C9" s="3"/>
      <c r="D9" s="3"/>
      <c r="E9" s="4"/>
      <c r="F9" s="5"/>
      <c r="G9" s="5"/>
      <c r="H9" s="6"/>
    </row>
    <row r="10" spans="1:8" x14ac:dyDescent="0.25">
      <c r="C10" s="3"/>
      <c r="D10" s="3"/>
      <c r="E10" s="4"/>
      <c r="F10" s="5"/>
      <c r="G10" s="5"/>
      <c r="H10" s="6"/>
    </row>
    <row r="11" spans="1:8" x14ac:dyDescent="0.25">
      <c r="C11" s="3"/>
      <c r="D11" s="3"/>
      <c r="E11" s="4"/>
      <c r="F11" s="5"/>
      <c r="G11" s="5"/>
      <c r="H11" s="6"/>
    </row>
    <row r="12" spans="1:8" x14ac:dyDescent="0.25">
      <c r="C12" s="3"/>
      <c r="D12" s="3"/>
      <c r="E12" s="4"/>
      <c r="F12" s="5"/>
      <c r="G12" s="5"/>
      <c r="H12" s="6"/>
    </row>
    <row r="13" spans="1:8" x14ac:dyDescent="0.25">
      <c r="C13" s="3"/>
      <c r="D13" s="3"/>
      <c r="E13" s="4"/>
      <c r="F13" s="5"/>
      <c r="G13" s="5"/>
      <c r="H13" s="6"/>
    </row>
    <row r="14" spans="1:8" x14ac:dyDescent="0.25">
      <c r="C14" s="3"/>
      <c r="D14" s="3"/>
      <c r="E14" s="4"/>
      <c r="F14" s="5"/>
      <c r="G14" s="5"/>
      <c r="H14" s="6"/>
    </row>
    <row r="15" spans="1:8" x14ac:dyDescent="0.25">
      <c r="C15" s="3"/>
      <c r="D15" s="3"/>
      <c r="E15" s="4"/>
      <c r="F15" s="5"/>
      <c r="G15" s="5"/>
      <c r="H15" s="6"/>
    </row>
    <row r="16" spans="1:8" x14ac:dyDescent="0.25">
      <c r="C16" s="3"/>
      <c r="D16" s="3"/>
      <c r="E16" s="4"/>
      <c r="F16" s="5"/>
      <c r="G16" s="5"/>
      <c r="H16" s="6"/>
    </row>
    <row r="17" spans="3:8" x14ac:dyDescent="0.25">
      <c r="C17" s="3"/>
      <c r="D17" s="3"/>
      <c r="E17" s="4"/>
      <c r="F17" s="5"/>
      <c r="G17" s="5"/>
      <c r="H17" s="6"/>
    </row>
    <row r="18" spans="3:8" x14ac:dyDescent="0.25">
      <c r="C18" s="3"/>
      <c r="D18" s="3"/>
      <c r="E18" s="4"/>
      <c r="F18" s="5"/>
      <c r="G18" s="5"/>
      <c r="H18" s="6"/>
    </row>
  </sheetData>
  <mergeCells count="1">
    <mergeCell ref="A4:H4"/>
  </mergeCells>
  <pageMargins left="0.7" right="0.7" top="0.25" bottom="0.2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Schedule</vt:lpstr>
      <vt:lpstr>CPAC Requests</vt:lpstr>
      <vt:lpstr>Freedom Requests</vt:lpstr>
      <vt:lpstr>WARF Requests</vt:lpstr>
      <vt:lpstr>Sheet2</vt:lpstr>
      <vt:lpstr>Sheet3</vt:lpstr>
      <vt:lpstr>'CPAC Requests'!Print_Area</vt:lpstr>
      <vt:lpstr>'Freedom Requests'!Print_Area</vt:lpstr>
      <vt:lpstr>Schedule!Print_Area</vt:lpstr>
      <vt:lpstr>'WARF Requests'!Print_Area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Koehr</dc:creator>
  <cp:lastModifiedBy>Jim Koehr</cp:lastModifiedBy>
  <cp:lastPrinted>2025-10-19T14:22:30Z</cp:lastPrinted>
  <dcterms:created xsi:type="dcterms:W3CDTF">2016-03-08T18:30:42Z</dcterms:created>
  <dcterms:modified xsi:type="dcterms:W3CDTF">2026-01-12T16:42:51Z</dcterms:modified>
</cp:coreProperties>
</file>