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 Koehr\Documents\Seton School\Seton Swim Coach\Season '25-'26\"/>
    </mc:Choice>
  </mc:AlternateContent>
  <xr:revisionPtr revIDLastSave="0" documentId="13_ncr:1_{04664C95-F3D5-4725-96C9-CDCA7A6C87DA}" xr6:coauthVersionLast="47" xr6:coauthVersionMax="47" xr10:uidLastSave="{00000000-0000-0000-0000-000000000000}"/>
  <bookViews>
    <workbookView xWindow="-34605" yWindow="1110" windowWidth="24750" windowHeight="16995" tabRatio="500" activeTab="1" xr2:uid="{00000000-000D-0000-FFFF-FFFF00000000}"/>
  </bookViews>
  <sheets>
    <sheet name="Seton-National Catholics" sheetId="14" r:id="rId1"/>
    <sheet name="Seton-NoVa Catholics" sheetId="15" r:id="rId2"/>
    <sheet name="Seton-VCAC Reg Season" sheetId="12" r:id="rId3"/>
    <sheet name="TCS!-ICHS-VCAC Reg Season" sheetId="13" r:id="rId4"/>
  </sheets>
  <definedNames>
    <definedName name="_xlnm._FilterDatabase" localSheetId="0" hidden="1">'Seton-National Catholics'!$A$3:$F$3</definedName>
    <definedName name="_xlnm._FilterDatabase" localSheetId="1" hidden="1">'Seton-NoVa Catholics'!$A$3:$F$3</definedName>
    <definedName name="_xlnm._FilterDatabase" localSheetId="2" hidden="1">'Seton-VCAC Reg Season'!$A$3:$F$3</definedName>
    <definedName name="_xlnm._FilterDatabase" localSheetId="3" hidden="1">'TCS!-ICHS-VCAC Reg Season'!$A$4:$F$4</definedName>
    <definedName name="_xlnm.Print_Area" localSheetId="0">'Seton-National Catholics'!$A$1:$O$41</definedName>
    <definedName name="_xlnm.Print_Area" localSheetId="1">'Seton-NoVa Catholics'!$A$1:$W$70</definedName>
    <definedName name="_xlnm.Print_Area" localSheetId="2">'Seton-VCAC Reg Season'!$A$1:$Y$70</definedName>
    <definedName name="_xlnm.Print_Area" localSheetId="3">'TCS!-ICHS-VCAC Reg Season'!$A$1:$V$38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15" l="1"/>
  <c r="J68" i="14" l="1"/>
  <c r="J67" i="14"/>
  <c r="J66" i="14"/>
  <c r="J65" i="14"/>
  <c r="J61" i="14"/>
  <c r="J60" i="14"/>
  <c r="J59" i="14"/>
  <c r="J58" i="14"/>
  <c r="J53" i="14"/>
  <c r="J52" i="14"/>
  <c r="J51" i="14"/>
  <c r="J50" i="14"/>
  <c r="N34" i="14"/>
  <c r="O34" i="14"/>
  <c r="N35" i="14"/>
  <c r="O35" i="14"/>
  <c r="N36" i="14"/>
  <c r="O36" i="14"/>
  <c r="O33" i="14"/>
  <c r="N33" i="14"/>
  <c r="L67" i="15"/>
  <c r="L66" i="15"/>
  <c r="L68" i="15"/>
  <c r="L53" i="15"/>
  <c r="L52" i="15"/>
  <c r="L51" i="15"/>
  <c r="L50" i="15"/>
  <c r="L54" i="15" s="1"/>
  <c r="L55" i="15" s="1"/>
  <c r="S17" i="15"/>
  <c r="S15" i="15"/>
  <c r="S14" i="15"/>
  <c r="S13" i="15"/>
  <c r="S12" i="15"/>
  <c r="L36" i="15"/>
  <c r="L65" i="15"/>
  <c r="L35" i="15"/>
  <c r="L34" i="15"/>
  <c r="L33" i="15"/>
  <c r="L37" i="15" s="1"/>
  <c r="L38" i="15" s="1"/>
  <c r="S33" i="15"/>
  <c r="S37" i="15" s="1"/>
  <c r="S38" i="15" s="1"/>
  <c r="S34" i="15"/>
  <c r="S35" i="15"/>
  <c r="S36" i="15"/>
  <c r="L62" i="15"/>
  <c r="L63" i="15" s="1"/>
  <c r="L61" i="15"/>
  <c r="L59" i="15"/>
  <c r="L60" i="15"/>
  <c r="L58" i="15"/>
  <c r="W37" i="15"/>
  <c r="W38" i="15" s="1"/>
  <c r="U37" i="15"/>
  <c r="U38" i="15" s="1"/>
  <c r="W31" i="15"/>
  <c r="U31" i="15"/>
  <c r="W30" i="15"/>
  <c r="U30" i="15"/>
  <c r="S30" i="15"/>
  <c r="S31" i="15" s="1"/>
  <c r="U17" i="15"/>
  <c r="W16" i="15"/>
  <c r="W17" i="15" s="1"/>
  <c r="U16" i="15"/>
  <c r="S16" i="15"/>
  <c r="W9" i="15"/>
  <c r="W10" i="15" s="1"/>
  <c r="U9" i="15"/>
  <c r="U10" i="15" s="1"/>
  <c r="S9" i="15"/>
  <c r="S10" i="15" s="1"/>
  <c r="N31" i="15"/>
  <c r="L31" i="15"/>
  <c r="N30" i="15"/>
  <c r="L30" i="15"/>
  <c r="N16" i="15"/>
  <c r="N17" i="15" s="1"/>
  <c r="J53" i="15"/>
  <c r="J52" i="15"/>
  <c r="J51" i="15"/>
  <c r="J54" i="15" s="1"/>
  <c r="J55" i="15" s="1"/>
  <c r="J68" i="15"/>
  <c r="J67" i="15"/>
  <c r="J69" i="15" s="1"/>
  <c r="J70" i="15" s="1"/>
  <c r="J66" i="15"/>
  <c r="J65" i="15"/>
  <c r="J62" i="15"/>
  <c r="J63" i="15" s="1"/>
  <c r="J61" i="15"/>
  <c r="J60" i="15"/>
  <c r="J59" i="15"/>
  <c r="J58" i="15"/>
  <c r="J50" i="15"/>
  <c r="L48" i="15"/>
  <c r="L47" i="15"/>
  <c r="J47" i="15"/>
  <c r="J48" i="15" s="1"/>
  <c r="J46" i="15"/>
  <c r="J45" i="15"/>
  <c r="J44" i="15"/>
  <c r="J43" i="15"/>
  <c r="Q36" i="15"/>
  <c r="J36" i="15"/>
  <c r="Q35" i="15"/>
  <c r="J35" i="15"/>
  <c r="Q34" i="15"/>
  <c r="J34" i="15"/>
  <c r="Q33" i="15"/>
  <c r="Q37" i="15" s="1"/>
  <c r="Q38" i="15" s="1"/>
  <c r="N37" i="15"/>
  <c r="N38" i="15" s="1"/>
  <c r="J33" i="15"/>
  <c r="J37" i="15" s="1"/>
  <c r="J38" i="15" s="1"/>
  <c r="Q29" i="15"/>
  <c r="J29" i="15"/>
  <c r="Q28" i="15"/>
  <c r="J28" i="15"/>
  <c r="Q27" i="15"/>
  <c r="J27" i="15"/>
  <c r="Q26" i="15"/>
  <c r="Q30" i="15" s="1"/>
  <c r="Q31" i="15" s="1"/>
  <c r="J26" i="15"/>
  <c r="J30" i="15" s="1"/>
  <c r="J31" i="15" s="1"/>
  <c r="Q15" i="15"/>
  <c r="J15" i="15"/>
  <c r="Q14" i="15"/>
  <c r="J14" i="15"/>
  <c r="Q13" i="15"/>
  <c r="J13" i="15"/>
  <c r="J16" i="15" s="1"/>
  <c r="J17" i="15" s="1"/>
  <c r="Q12" i="15"/>
  <c r="Q16" i="15" s="1"/>
  <c r="Q17" i="15" s="1"/>
  <c r="J12" i="15"/>
  <c r="N10" i="15"/>
  <c r="N9" i="15"/>
  <c r="L9" i="15"/>
  <c r="L10" i="15" s="1"/>
  <c r="Q8" i="15"/>
  <c r="J8" i="15"/>
  <c r="Q7" i="15"/>
  <c r="J7" i="15"/>
  <c r="Q6" i="15"/>
  <c r="J6" i="15"/>
  <c r="Q5" i="15"/>
  <c r="Q9" i="15" s="1"/>
  <c r="Q10" i="15" s="1"/>
  <c r="J5" i="15"/>
  <c r="J9" i="15" s="1"/>
  <c r="J10" i="15" s="1"/>
  <c r="L69" i="15" l="1"/>
  <c r="L70" i="15" s="1"/>
  <c r="L16" i="15"/>
  <c r="L17" i="15" s="1"/>
  <c r="J12" i="14"/>
  <c r="O15" i="14"/>
  <c r="L13" i="14"/>
  <c r="L12" i="14"/>
  <c r="J33" i="14"/>
  <c r="O29" i="14"/>
  <c r="J26" i="14"/>
  <c r="L14" i="14"/>
  <c r="L54" i="14"/>
  <c r="L55" i="14" s="1"/>
  <c r="O13" i="14"/>
  <c r="O14" i="14"/>
  <c r="O12" i="14"/>
  <c r="J14" i="14"/>
  <c r="J15" i="14"/>
  <c r="L62" i="14"/>
  <c r="L63" i="14" s="1"/>
  <c r="L47" i="14"/>
  <c r="L48" i="14" s="1"/>
  <c r="J46" i="14"/>
  <c r="J45" i="14"/>
  <c r="J44" i="14"/>
  <c r="J43" i="14"/>
  <c r="L36" i="14"/>
  <c r="J36" i="14"/>
  <c r="L35" i="14"/>
  <c r="J35" i="14"/>
  <c r="L34" i="14"/>
  <c r="J34" i="14"/>
  <c r="L33" i="14"/>
  <c r="L29" i="14"/>
  <c r="J29" i="14"/>
  <c r="O28" i="14"/>
  <c r="L28" i="14"/>
  <c r="J28" i="14"/>
  <c r="O27" i="14"/>
  <c r="L27" i="14"/>
  <c r="J27" i="14"/>
  <c r="O26" i="14"/>
  <c r="L26" i="14"/>
  <c r="L15" i="14"/>
  <c r="J13" i="14"/>
  <c r="L9" i="14"/>
  <c r="L10" i="14" s="1"/>
  <c r="O8" i="14"/>
  <c r="J8" i="14"/>
  <c r="O7" i="14"/>
  <c r="J7" i="14"/>
  <c r="O6" i="14"/>
  <c r="J6" i="14"/>
  <c r="O5" i="14"/>
  <c r="J5" i="14"/>
  <c r="V17" i="13"/>
  <c r="V18" i="13" s="1"/>
  <c r="V16" i="13"/>
  <c r="V15" i="13"/>
  <c r="V14" i="13"/>
  <c r="V13" i="13"/>
  <c r="V36" i="13"/>
  <c r="V34" i="13"/>
  <c r="V33" i="13"/>
  <c r="V32" i="13"/>
  <c r="V31" i="13"/>
  <c r="L16" i="13"/>
  <c r="Y15" i="12"/>
  <c r="Y14" i="12"/>
  <c r="L49" i="12"/>
  <c r="V9" i="13"/>
  <c r="V8" i="13"/>
  <c r="V7" i="13"/>
  <c r="V6" i="13"/>
  <c r="V10" i="13"/>
  <c r="V11" i="13" s="1"/>
  <c r="Q16" i="13"/>
  <c r="Q15" i="13"/>
  <c r="Q14" i="13"/>
  <c r="Q13" i="13"/>
  <c r="Q9" i="13"/>
  <c r="Q8" i="13"/>
  <c r="Q7" i="13"/>
  <c r="Q6" i="13"/>
  <c r="L9" i="13"/>
  <c r="L7" i="13"/>
  <c r="L6" i="13"/>
  <c r="L35" i="13"/>
  <c r="L36" i="13" s="1"/>
  <c r="L34" i="13"/>
  <c r="L33" i="13"/>
  <c r="L32" i="13"/>
  <c r="L31" i="13"/>
  <c r="L27" i="13"/>
  <c r="L26" i="13"/>
  <c r="L25" i="13"/>
  <c r="L24" i="13"/>
  <c r="Q32" i="13"/>
  <c r="Q31" i="13"/>
  <c r="Q27" i="13"/>
  <c r="Q26" i="13"/>
  <c r="Q25" i="13"/>
  <c r="Q24" i="13"/>
  <c r="V27" i="13"/>
  <c r="V28" i="13" s="1"/>
  <c r="V29" i="13" s="1"/>
  <c r="V26" i="13"/>
  <c r="V25" i="13"/>
  <c r="V24" i="13"/>
  <c r="O16" i="14" l="1"/>
  <c r="O17" i="14" s="1"/>
  <c r="O30" i="14"/>
  <c r="O31" i="14" s="1"/>
  <c r="O37" i="14"/>
  <c r="O38" i="14" s="1"/>
  <c r="L37" i="14"/>
  <c r="L38" i="14" s="1"/>
  <c r="O9" i="14"/>
  <c r="O10" i="14" s="1"/>
  <c r="L16" i="14"/>
  <c r="L17" i="14" s="1"/>
  <c r="J37" i="14"/>
  <c r="J38" i="14" s="1"/>
  <c r="J47" i="14"/>
  <c r="J48" i="14" s="1"/>
  <c r="J69" i="14"/>
  <c r="J70" i="14" s="1"/>
  <c r="L69" i="14"/>
  <c r="L70" i="14" s="1"/>
  <c r="J62" i="14"/>
  <c r="J63" i="14" s="1"/>
  <c r="J54" i="14"/>
  <c r="J55" i="14" s="1"/>
  <c r="J30" i="14"/>
  <c r="J31" i="14" s="1"/>
  <c r="L30" i="14"/>
  <c r="L31" i="14" s="1"/>
  <c r="J16" i="14"/>
  <c r="J17" i="14" s="1"/>
  <c r="J9" i="14"/>
  <c r="J10" i="14" s="1"/>
  <c r="V35" i="13"/>
  <c r="U15" i="12"/>
  <c r="Y12" i="12"/>
  <c r="Y13" i="12"/>
  <c r="S34" i="12"/>
  <c r="S33" i="12"/>
  <c r="L51" i="12"/>
  <c r="P15" i="12"/>
  <c r="P13" i="12"/>
  <c r="P14" i="12"/>
  <c r="L68" i="12" l="1"/>
  <c r="L67" i="12"/>
  <c r="L66" i="12"/>
  <c r="N68" i="12"/>
  <c r="N67" i="12"/>
  <c r="N66" i="12"/>
  <c r="N65" i="12"/>
  <c r="N32" i="12"/>
  <c r="P34" i="12"/>
  <c r="P33" i="12"/>
  <c r="N34" i="12"/>
  <c r="N33" i="12"/>
  <c r="P32" i="12"/>
  <c r="P31" i="12"/>
  <c r="N31" i="12"/>
  <c r="L34" i="12"/>
  <c r="L33" i="12"/>
  <c r="L32" i="12"/>
  <c r="L31" i="12"/>
  <c r="L65" i="12"/>
  <c r="P12" i="12"/>
  <c r="N15" i="12"/>
  <c r="L48" i="12"/>
  <c r="L50" i="12"/>
  <c r="Y28" i="12"/>
  <c r="Y29" i="12" s="1"/>
  <c r="Y9" i="12"/>
  <c r="Y10" i="12" s="1"/>
  <c r="N12" i="12"/>
  <c r="S15" i="12"/>
  <c r="J49" i="12"/>
  <c r="L69" i="12" l="1"/>
  <c r="L70" i="12" s="1"/>
  <c r="N69" i="12"/>
  <c r="N70" i="12" s="1"/>
  <c r="L52" i="12"/>
  <c r="Y16" i="12"/>
  <c r="Y17" i="12" s="1"/>
  <c r="P27" i="12"/>
  <c r="P26" i="12"/>
  <c r="P25" i="12"/>
  <c r="P24" i="12"/>
  <c r="T34" i="13"/>
  <c r="O32" i="13"/>
  <c r="O33" i="13"/>
  <c r="O34" i="13"/>
  <c r="O31" i="13"/>
  <c r="O25" i="13"/>
  <c r="O26" i="13"/>
  <c r="O27" i="13"/>
  <c r="O24" i="13"/>
  <c r="J34" i="13"/>
  <c r="J33" i="13"/>
  <c r="J32" i="13"/>
  <c r="J31" i="13"/>
  <c r="J27" i="13"/>
  <c r="J26" i="13"/>
  <c r="J25" i="13"/>
  <c r="J24" i="13"/>
  <c r="T33" i="13"/>
  <c r="T32" i="13"/>
  <c r="T31" i="13"/>
  <c r="T27" i="13"/>
  <c r="T26" i="13"/>
  <c r="T25" i="13"/>
  <c r="T24" i="13"/>
  <c r="O35" i="13"/>
  <c r="O36" i="13" s="1"/>
  <c r="J35" i="13"/>
  <c r="J36" i="13" s="1"/>
  <c r="T16" i="13"/>
  <c r="T15" i="13"/>
  <c r="T14" i="13"/>
  <c r="T13" i="13"/>
  <c r="T9" i="13"/>
  <c r="T8" i="13"/>
  <c r="T7" i="13"/>
  <c r="T6" i="13"/>
  <c r="O14" i="13"/>
  <c r="O15" i="13"/>
  <c r="O16" i="13"/>
  <c r="O13" i="13"/>
  <c r="O7" i="13"/>
  <c r="O8" i="13"/>
  <c r="O9" i="13"/>
  <c r="O6" i="13"/>
  <c r="J16" i="13"/>
  <c r="J15" i="13"/>
  <c r="J14" i="13"/>
  <c r="J13" i="13"/>
  <c r="L17" i="13"/>
  <c r="L18" i="13" s="1"/>
  <c r="J9" i="13"/>
  <c r="J8" i="13"/>
  <c r="J6" i="13"/>
  <c r="J66" i="12"/>
  <c r="J68" i="12"/>
  <c r="J67" i="12"/>
  <c r="J65" i="12"/>
  <c r="J61" i="12"/>
  <c r="J58" i="12"/>
  <c r="J51" i="12"/>
  <c r="J50" i="12"/>
  <c r="J48" i="12"/>
  <c r="J44" i="12"/>
  <c r="J43" i="12"/>
  <c r="J42" i="12"/>
  <c r="J41" i="12"/>
  <c r="W16" i="12"/>
  <c r="W17" i="12" s="1"/>
  <c r="U13" i="12"/>
  <c r="U14" i="12"/>
  <c r="U12" i="12"/>
  <c r="S6" i="12"/>
  <c r="S7" i="12"/>
  <c r="S8" i="12"/>
  <c r="S5" i="12"/>
  <c r="N27" i="12"/>
  <c r="N26" i="12"/>
  <c r="N25" i="12"/>
  <c r="N24" i="12"/>
  <c r="N9" i="12"/>
  <c r="N10" i="12" s="1"/>
  <c r="N14" i="12"/>
  <c r="N13" i="12"/>
  <c r="P35" i="12"/>
  <c r="P36" i="12" s="1"/>
  <c r="P9" i="12"/>
  <c r="P10" i="12" s="1"/>
  <c r="J15" i="12"/>
  <c r="J14" i="12"/>
  <c r="J13" i="12"/>
  <c r="J12" i="12"/>
  <c r="L15" i="12"/>
  <c r="L14" i="12"/>
  <c r="L13" i="12"/>
  <c r="L12" i="12"/>
  <c r="J8" i="12"/>
  <c r="J7" i="12"/>
  <c r="J6" i="12"/>
  <c r="J5" i="12"/>
  <c r="J69" i="12" l="1"/>
  <c r="J70" i="12" s="1"/>
  <c r="P28" i="12"/>
  <c r="P29" i="12" s="1"/>
  <c r="P16" i="12"/>
  <c r="P17" i="12" s="1"/>
  <c r="U16" i="12"/>
  <c r="U17" i="12" s="1"/>
  <c r="N16" i="12"/>
  <c r="N17" i="12" s="1"/>
  <c r="L16" i="12"/>
  <c r="O28" i="13"/>
  <c r="O29" i="13" s="1"/>
  <c r="J60" i="12"/>
  <c r="J59" i="12"/>
  <c r="J16" i="12" l="1"/>
  <c r="J17" i="12" s="1"/>
  <c r="J31" i="12"/>
  <c r="N35" i="12"/>
  <c r="N36" i="12" s="1"/>
  <c r="L35" i="12"/>
  <c r="L36" i="12" s="1"/>
  <c r="J34" i="12"/>
  <c r="J33" i="12"/>
  <c r="J32" i="12"/>
  <c r="L26" i="12"/>
  <c r="S32" i="12"/>
  <c r="S31" i="12"/>
  <c r="S25" i="12"/>
  <c r="S26" i="12"/>
  <c r="S27" i="12"/>
  <c r="S24" i="12"/>
  <c r="L27" i="12"/>
  <c r="L25" i="12"/>
  <c r="L24" i="12"/>
  <c r="J27" i="12"/>
  <c r="J26" i="12"/>
  <c r="J25" i="12"/>
  <c r="J24" i="12"/>
  <c r="S13" i="12"/>
  <c r="S14" i="12"/>
  <c r="S12" i="12"/>
  <c r="U9" i="12"/>
  <c r="U10" i="12" s="1"/>
  <c r="L62" i="12"/>
  <c r="L63" i="12" s="1"/>
  <c r="J62" i="12"/>
  <c r="J63" i="12" s="1"/>
  <c r="W28" i="12"/>
  <c r="W29" i="12" s="1"/>
  <c r="W9" i="12"/>
  <c r="W10" i="12" s="1"/>
  <c r="U28" i="12"/>
  <c r="U29" i="12" s="1"/>
  <c r="S28" i="12" l="1"/>
  <c r="S29" i="12" s="1"/>
  <c r="N28" i="12"/>
  <c r="N29" i="12" s="1"/>
  <c r="J35" i="12"/>
  <c r="J36" i="12" s="1"/>
  <c r="S35" i="12"/>
  <c r="S36" i="12" s="1"/>
  <c r="J52" i="12"/>
  <c r="S16" i="12"/>
  <c r="S17" i="12" s="1"/>
  <c r="S9" i="12"/>
  <c r="S10" i="12" s="1"/>
  <c r="J7" i="13"/>
  <c r="Q35" i="13"/>
  <c r="Q36" i="13" s="1"/>
  <c r="Q28" i="13"/>
  <c r="Q29" i="13" s="1"/>
  <c r="J28" i="13"/>
  <c r="J29" i="13" s="1"/>
  <c r="Q17" i="13"/>
  <c r="Q18" i="13" s="1"/>
  <c r="Q10" i="13"/>
  <c r="Q11" i="13" s="1"/>
  <c r="T28" i="13" l="1"/>
  <c r="T29" i="13" s="1"/>
  <c r="J17" i="13"/>
  <c r="J18" i="13" s="1"/>
  <c r="L10" i="13"/>
  <c r="L11" i="13" s="1"/>
  <c r="T35" i="13"/>
  <c r="T36" i="13" s="1"/>
  <c r="L28" i="13"/>
  <c r="L29" i="13" s="1"/>
  <c r="L45" i="12"/>
  <c r="L46" i="12" s="1"/>
  <c r="L53" i="12"/>
  <c r="T17" i="13"/>
  <c r="T18" i="13" s="1"/>
  <c r="O10" i="13"/>
  <c r="O11" i="13" s="1"/>
  <c r="T10" i="13"/>
  <c r="T11" i="13" s="1"/>
  <c r="O17" i="13"/>
  <c r="O18" i="13" s="1"/>
  <c r="J10" i="13"/>
  <c r="J11" i="13" s="1"/>
  <c r="L17" i="12"/>
  <c r="L9" i="12"/>
  <c r="L10" i="12" s="1"/>
  <c r="J9" i="12" l="1"/>
  <c r="J10" i="12" s="1"/>
  <c r="J28" i="12"/>
  <c r="J29" i="12" s="1"/>
  <c r="L28" i="12"/>
  <c r="L29" i="12" s="1"/>
  <c r="J53" i="12"/>
  <c r="J45" i="12"/>
  <c r="J46" i="12" s="1"/>
</calcChain>
</file>

<file path=xl/sharedStrings.xml><?xml version="1.0" encoding="utf-8"?>
<sst xmlns="http://schemas.openxmlformats.org/spreadsheetml/2006/main" count="868" uniqueCount="138">
  <si>
    <t>50 Free</t>
  </si>
  <si>
    <t>100 Free</t>
  </si>
  <si>
    <t>Female</t>
  </si>
  <si>
    <t xml:space="preserve">Ariana Aldeguer </t>
  </si>
  <si>
    <t>Male</t>
  </si>
  <si>
    <t>50 Back</t>
  </si>
  <si>
    <t>50 Breats</t>
  </si>
  <si>
    <t>50 Fly</t>
  </si>
  <si>
    <t>Philomena Kay</t>
  </si>
  <si>
    <t>Back</t>
  </si>
  <si>
    <t>Breast</t>
  </si>
  <si>
    <t>Fly</t>
  </si>
  <si>
    <t>Free</t>
  </si>
  <si>
    <t>Lionel Martinez</t>
  </si>
  <si>
    <t>Anastasia Garvey</t>
  </si>
  <si>
    <t>Maggie Schroer</t>
  </si>
  <si>
    <t>Kyleigh Fifield</t>
  </si>
  <si>
    <t>400 Free Relay</t>
  </si>
  <si>
    <t>Medley Relay "B"</t>
  </si>
  <si>
    <t>Medley Relay "A"</t>
  </si>
  <si>
    <t>Daniel Sokban</t>
  </si>
  <si>
    <t>Thiago Martinez</t>
  </si>
  <si>
    <t>200 Free Relay</t>
  </si>
  <si>
    <t>Sophia Halisky</t>
  </si>
  <si>
    <t>200 Free Relay "B"</t>
  </si>
  <si>
    <t>400 Free Relay "B"</t>
  </si>
  <si>
    <t>Greg Bauer</t>
  </si>
  <si>
    <t>Jack Herwick</t>
  </si>
  <si>
    <t>Betsy Arnold</t>
  </si>
  <si>
    <t>3:00 +</t>
  </si>
  <si>
    <t>Total</t>
  </si>
  <si>
    <t>1:00 +</t>
  </si>
  <si>
    <t>Michael Zahorchak</t>
  </si>
  <si>
    <t>Patrick Kay</t>
  </si>
  <si>
    <t>Luke Partridge</t>
  </si>
  <si>
    <t>Dominic Judge</t>
  </si>
  <si>
    <t>VCAC Regular Season Champs 2025</t>
  </si>
  <si>
    <t>Shoshana Feng</t>
  </si>
  <si>
    <t>Audrey Schlieter</t>
  </si>
  <si>
    <t>Alice Wiggins</t>
  </si>
  <si>
    <t>Madelyn Gilbert</t>
  </si>
  <si>
    <t>Maggie Hsieh</t>
  </si>
  <si>
    <t>Emma Hill</t>
  </si>
  <si>
    <t>Alexa Kritz</t>
  </si>
  <si>
    <t>Eliza Miller</t>
  </si>
  <si>
    <t>4:00 +</t>
  </si>
  <si>
    <t>Avila Mantooth</t>
  </si>
  <si>
    <t>2:00 +</t>
  </si>
  <si>
    <t>Melissa Paradise</t>
  </si>
  <si>
    <t>Therese Paradise</t>
  </si>
  <si>
    <t>Elizabeth Hurley</t>
  </si>
  <si>
    <t>Ariana Aldeguer</t>
  </si>
  <si>
    <t>VCAC Regular Season Champs 2026</t>
  </si>
  <si>
    <t>Jonas Wilson</t>
  </si>
  <si>
    <t>Times in Bold and Green mean from last season</t>
  </si>
  <si>
    <t>Bennett Ellis</t>
  </si>
  <si>
    <t>Charlotte Hill</t>
  </si>
  <si>
    <t>Sara Saavedra</t>
  </si>
  <si>
    <t>Erin Phillips</t>
  </si>
  <si>
    <t>Alexis Dang</t>
  </si>
  <si>
    <t>Allie Wiggins</t>
  </si>
  <si>
    <t>Alexa Kriz</t>
  </si>
  <si>
    <t>Maddie Gilbert</t>
  </si>
  <si>
    <t>Caleb Fiala</t>
  </si>
  <si>
    <t>Moses Wolf</t>
  </si>
  <si>
    <t>Caleb Morillo</t>
  </si>
  <si>
    <t>Jonathan Salter</t>
  </si>
  <si>
    <t>Luke Bluey</t>
  </si>
  <si>
    <t>Michael Salter</t>
  </si>
  <si>
    <t>Brenton Anderson</t>
  </si>
  <si>
    <t>Elijah Frenchak</t>
  </si>
  <si>
    <t>Tyler Gade</t>
  </si>
  <si>
    <t>Reed Lansing</t>
  </si>
  <si>
    <t>Ben Bluey</t>
  </si>
  <si>
    <t>Grey Burgess</t>
  </si>
  <si>
    <t>Wade Winslow</t>
  </si>
  <si>
    <t>William Gade</t>
  </si>
  <si>
    <t>Immanuel Christian</t>
  </si>
  <si>
    <t>Trinity Christian School</t>
  </si>
  <si>
    <t>Daneil Sokban</t>
  </si>
  <si>
    <t>Lara Martinez</t>
  </si>
  <si>
    <t>Gabby Russo</t>
  </si>
  <si>
    <t>Annie Dusek</t>
  </si>
  <si>
    <t>Got to Get 2nd and 3rd</t>
  </si>
  <si>
    <t>Got to Get 1st and 3rd, TCS! 3:41.00</t>
  </si>
  <si>
    <t>Got to Win, Hope for 3rd, TCS! 1:53.20</t>
  </si>
  <si>
    <t>Assume Avila and Sophia in 100 BR</t>
  </si>
  <si>
    <t>Assume Dominic in 100 BR</t>
  </si>
  <si>
    <t>Joey Lynch</t>
  </si>
  <si>
    <t>Joel Bookwalter</t>
  </si>
  <si>
    <t>Got to Win, Hope for 3rd, ICHS 1:43.34</t>
  </si>
  <si>
    <t>Got to Win, Hope for 3rd, ICHS 1:33.03</t>
  </si>
  <si>
    <t>Got to Get 2nd and 3rd, Assume ICHS loads this one</t>
  </si>
  <si>
    <t>Luke Parttridge</t>
  </si>
  <si>
    <t>JJ Garvey</t>
  </si>
  <si>
    <t>Paul Partridge</t>
  </si>
  <si>
    <t>Paul Partidge</t>
  </si>
  <si>
    <t>Annie  Dusek</t>
  </si>
  <si>
    <t>Lara Matinez</t>
  </si>
  <si>
    <t>Lara's time is flat start</t>
  </si>
  <si>
    <t>Actual</t>
  </si>
  <si>
    <t>Micah Lam</t>
  </si>
  <si>
    <t>Claire Watson</t>
  </si>
  <si>
    <t>Caroline Watson</t>
  </si>
  <si>
    <t>Emma Van Raaphorst</t>
  </si>
  <si>
    <t>Maggi Hsieh</t>
  </si>
  <si>
    <t>Burgess Grey</t>
  </si>
  <si>
    <t>Jonathan Vincent</t>
  </si>
  <si>
    <t>Taylor Gade</t>
  </si>
  <si>
    <t>Lily Waldron</t>
  </si>
  <si>
    <t>200 Free Relay "A"</t>
  </si>
  <si>
    <t>6th</t>
  </si>
  <si>
    <t>7th</t>
  </si>
  <si>
    <t>10th</t>
  </si>
  <si>
    <t>5th</t>
  </si>
  <si>
    <t>12th</t>
  </si>
  <si>
    <t>18th</t>
  </si>
  <si>
    <t>National Catholics 2026</t>
  </si>
  <si>
    <t>Aoife Haggerty</t>
  </si>
  <si>
    <t>2nd</t>
  </si>
  <si>
    <t>1st</t>
  </si>
  <si>
    <t>4th</t>
  </si>
  <si>
    <t>by -7.66 from 3rd</t>
  </si>
  <si>
    <t>by -2.65 from 1st</t>
  </si>
  <si>
    <t>by -1.22 from 5th</t>
  </si>
  <si>
    <t>big</t>
  </si>
  <si>
    <t>by +2.36 from 2nd</t>
  </si>
  <si>
    <t>by -.25 from 5th</t>
  </si>
  <si>
    <t>by +3.01 from 2nd</t>
  </si>
  <si>
    <t>by +2.61 from 2nd</t>
  </si>
  <si>
    <t>by -2.83 from 3rd</t>
  </si>
  <si>
    <t>by +.02</t>
  </si>
  <si>
    <t xml:space="preserve">by -4.71 from 4th </t>
  </si>
  <si>
    <t>by -.26 from 4th</t>
  </si>
  <si>
    <t>Katie Bauer</t>
  </si>
  <si>
    <t>Joel Bookwater</t>
  </si>
  <si>
    <t>Joe Witter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</si>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</sst>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:ss.00"/>
  </numFmts>
  <fonts count="13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Garamond"/>
      <family val="1"/>
    </font>
    <font>
      <sz val="10"/>
      <color indexed="8"/>
      <name val="Garamond"/>
      <family val="1"/>
    </font>
    <font>
      <b/>
      <sz val="9"/>
      <color indexed="8"/>
      <name val="Garamond"/>
      <family val="1"/>
    </font>
    <font>
      <b/>
      <sz val="12"/>
      <color indexed="8"/>
      <name val="Garamond"/>
      <family val="1"/>
    </font>
    <font>
      <sz val="12"/>
      <color indexed="8"/>
      <name val="Garamond"/>
      <family val="1"/>
    </font>
    <font>
      <sz val="10"/>
      <color indexed="8"/>
      <name val="Arial"/>
      <family val="2"/>
    </font>
    <font>
      <b/>
      <sz val="14"/>
      <color indexed="8"/>
      <name val="Garamond"/>
      <family val="1"/>
    </font>
    <font>
      <i/>
      <sz val="12"/>
      <color indexed="8"/>
      <name val="Garamond"/>
      <family val="1"/>
    </font>
    <font>
      <b/>
      <u/>
      <sz val="12"/>
      <color indexed="8"/>
      <name val="Garamond"/>
      <family val="1"/>
    </font>
    <font>
      <i/>
      <sz val="10"/>
      <color indexed="8"/>
      <name val="Garamond"/>
      <family val="1"/>
    </font>
    <font>
      <b/>
      <i/>
      <sz val="12"/>
      <color indexed="8"/>
      <name val="Garamond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top"/>
    </xf>
    <xf numFmtId="0" fontId="1" fillId="0" borderId="0">
      <alignment vertical="top"/>
    </xf>
    <xf numFmtId="9" fontId="1" fillId="0" borderId="0" applyFont="0" applyFill="0" applyBorder="0" applyAlignment="0" applyProtection="0">
      <alignment vertical="top"/>
    </xf>
    <xf numFmtId="43" fontId="7" fillId="0" borderId="0" applyFont="0" applyFill="0" applyBorder="0" applyAlignment="0" applyProtection="0"/>
  </cellStyleXfs>
  <cellXfs count="145">
    <xf numFmtId="0" fontId="0" fillId="0" borderId="0" xfId="0">
      <alignment vertical="top"/>
    </xf>
    <xf numFmtId="0" fontId="5" fillId="0" borderId="0" xfId="0" applyFont="1">
      <alignment vertical="top"/>
    </xf>
    <xf numFmtId="0" fontId="6" fillId="0" borderId="0" xfId="0" applyFont="1">
      <alignment vertical="top"/>
    </xf>
    <xf numFmtId="0" fontId="2" fillId="0" borderId="0" xfId="1" applyFont="1">
      <alignment vertical="top"/>
    </xf>
    <xf numFmtId="0" fontId="3" fillId="0" borderId="0" xfId="1" applyFont="1">
      <alignment vertical="top"/>
    </xf>
    <xf numFmtId="0" fontId="1" fillId="0" borderId="0" xfId="1">
      <alignment vertical="top"/>
    </xf>
    <xf numFmtId="0" fontId="3" fillId="2" borderId="2" xfId="1" applyFont="1" applyFill="1" applyBorder="1">
      <alignment vertical="top"/>
    </xf>
    <xf numFmtId="164" fontId="6" fillId="0" borderId="3" xfId="1" applyNumberFormat="1" applyFont="1" applyBorder="1" applyAlignment="1">
      <alignment horizontal="center" vertical="top"/>
    </xf>
    <xf numFmtId="0" fontId="4" fillId="2" borderId="1" xfId="1" applyFont="1" applyFill="1" applyBorder="1" applyAlignment="1">
      <alignment horizontal="center" vertical="top"/>
    </xf>
    <xf numFmtId="0" fontId="8" fillId="0" borderId="0" xfId="1" applyFont="1">
      <alignment vertical="top"/>
    </xf>
    <xf numFmtId="43" fontId="6" fillId="0" borderId="3" xfId="3" applyFont="1" applyBorder="1" applyAlignment="1">
      <alignment horizontal="center" vertical="top"/>
    </xf>
    <xf numFmtId="43" fontId="6" fillId="0" borderId="3" xfId="3" applyFont="1" applyFill="1" applyBorder="1" applyAlignment="1">
      <alignment horizontal="center" vertical="top"/>
    </xf>
    <xf numFmtId="0" fontId="6" fillId="0" borderId="0" xfId="1" applyFont="1">
      <alignment vertical="top"/>
    </xf>
    <xf numFmtId="43" fontId="6" fillId="0" borderId="0" xfId="1" applyNumberFormat="1" applyFont="1">
      <alignment vertical="top"/>
    </xf>
    <xf numFmtId="0" fontId="5" fillId="0" borderId="0" xfId="1" applyFont="1">
      <alignment vertical="top"/>
    </xf>
    <xf numFmtId="43" fontId="6" fillId="0" borderId="0" xfId="3" applyFont="1" applyBorder="1" applyAlignment="1">
      <alignment horizontal="center" vertical="top"/>
    </xf>
    <xf numFmtId="43" fontId="5" fillId="0" borderId="0" xfId="1" applyNumberFormat="1" applyFont="1">
      <alignment vertical="top"/>
    </xf>
    <xf numFmtId="43" fontId="5" fillId="0" borderId="0" xfId="3" applyFont="1" applyBorder="1" applyAlignment="1">
      <alignment horizontal="center" vertical="top"/>
    </xf>
    <xf numFmtId="0" fontId="6" fillId="3" borderId="0" xfId="1" applyFont="1" applyFill="1">
      <alignment vertical="top"/>
    </xf>
    <xf numFmtId="0" fontId="6" fillId="0" borderId="3" xfId="1" applyFont="1" applyBorder="1">
      <alignment vertical="top"/>
    </xf>
    <xf numFmtId="0" fontId="5" fillId="0" borderId="3" xfId="1" applyFont="1" applyBorder="1">
      <alignment vertical="top"/>
    </xf>
    <xf numFmtId="0" fontId="6" fillId="0" borderId="4" xfId="1" applyFont="1" applyBorder="1">
      <alignment vertical="top"/>
    </xf>
    <xf numFmtId="43" fontId="6" fillId="0" borderId="4" xfId="1" applyNumberFormat="1" applyFont="1" applyBorder="1">
      <alignment vertical="top"/>
    </xf>
    <xf numFmtId="43" fontId="6" fillId="0" borderId="5" xfId="1" applyNumberFormat="1" applyFont="1" applyBorder="1">
      <alignment vertical="top"/>
    </xf>
    <xf numFmtId="0" fontId="6" fillId="0" borderId="6" xfId="1" applyFont="1" applyBorder="1">
      <alignment vertical="top"/>
    </xf>
    <xf numFmtId="43" fontId="6" fillId="0" borderId="4" xfId="3" applyFont="1" applyBorder="1" applyAlignment="1">
      <alignment horizontal="center" vertical="top"/>
    </xf>
    <xf numFmtId="0" fontId="1" fillId="0" borderId="3" xfId="1" applyBorder="1">
      <alignment vertical="top"/>
    </xf>
    <xf numFmtId="43" fontId="6" fillId="0" borderId="0" xfId="3" applyFont="1" applyFill="1" applyBorder="1" applyAlignment="1">
      <alignment horizontal="center" vertical="top"/>
    </xf>
    <xf numFmtId="43" fontId="5" fillId="0" borderId="3" xfId="3" applyFont="1" applyFill="1" applyBorder="1" applyAlignment="1">
      <alignment horizontal="center" vertical="top"/>
    </xf>
    <xf numFmtId="43" fontId="5" fillId="0" borderId="3" xfId="3" applyFont="1" applyBorder="1" applyAlignment="1">
      <alignment horizontal="center" vertical="top"/>
    </xf>
    <xf numFmtId="0" fontId="6" fillId="0" borderId="4" xfId="0" applyFont="1" applyBorder="1">
      <alignment vertical="top"/>
    </xf>
    <xf numFmtId="43" fontId="6" fillId="0" borderId="5" xfId="3" applyFont="1" applyBorder="1" applyAlignment="1">
      <alignment horizontal="center" vertical="top"/>
    </xf>
    <xf numFmtId="43" fontId="5" fillId="4" borderId="3" xfId="3" applyFont="1" applyFill="1" applyBorder="1" applyAlignment="1">
      <alignment horizontal="center" vertical="top"/>
    </xf>
    <xf numFmtId="0" fontId="6" fillId="0" borderId="3" xfId="0" applyFont="1" applyBorder="1">
      <alignment vertical="top"/>
    </xf>
    <xf numFmtId="0" fontId="6" fillId="0" borderId="6" xfId="0" applyFont="1" applyBorder="1">
      <alignment vertical="top"/>
    </xf>
    <xf numFmtId="0" fontId="1" fillId="3" borderId="0" xfId="1" applyFill="1">
      <alignment vertical="top"/>
    </xf>
    <xf numFmtId="43" fontId="6" fillId="3" borderId="0" xfId="3" applyFont="1" applyFill="1" applyBorder="1" applyAlignment="1">
      <alignment horizontal="center" vertical="top"/>
    </xf>
    <xf numFmtId="43" fontId="6" fillId="3" borderId="0" xfId="1" applyNumberFormat="1" applyFont="1" applyFill="1">
      <alignment vertical="top"/>
    </xf>
    <xf numFmtId="0" fontId="5" fillId="0" borderId="2" xfId="1" applyFont="1" applyBorder="1">
      <alignment vertical="top"/>
    </xf>
    <xf numFmtId="0" fontId="6" fillId="0" borderId="2" xfId="1" applyFont="1" applyBorder="1">
      <alignment vertical="top"/>
    </xf>
    <xf numFmtId="43" fontId="6" fillId="0" borderId="2" xfId="1" applyNumberFormat="1" applyFont="1" applyBorder="1">
      <alignment vertical="top"/>
    </xf>
    <xf numFmtId="0" fontId="6" fillId="0" borderId="1" xfId="1" applyFont="1" applyBorder="1">
      <alignment vertical="top"/>
    </xf>
    <xf numFmtId="0" fontId="6" fillId="3" borderId="2" xfId="1" applyFont="1" applyFill="1" applyBorder="1">
      <alignment vertical="top"/>
    </xf>
    <xf numFmtId="0" fontId="5" fillId="0" borderId="1" xfId="1" applyFont="1" applyBorder="1">
      <alignment vertical="top"/>
    </xf>
    <xf numFmtId="43" fontId="6" fillId="0" borderId="7" xfId="1" applyNumberFormat="1" applyFont="1" applyBorder="1">
      <alignment vertical="top"/>
    </xf>
    <xf numFmtId="43" fontId="1" fillId="0" borderId="0" xfId="1" applyNumberFormat="1">
      <alignment vertical="top"/>
    </xf>
    <xf numFmtId="43" fontId="9" fillId="0" borderId="3" xfId="3" applyFont="1" applyBorder="1" applyAlignment="1">
      <alignment horizontal="center" vertical="top"/>
    </xf>
    <xf numFmtId="0" fontId="1" fillId="0" borderId="6" xfId="1" applyBorder="1">
      <alignment vertical="top"/>
    </xf>
    <xf numFmtId="0" fontId="1" fillId="0" borderId="4" xfId="1" applyBorder="1">
      <alignment vertical="top"/>
    </xf>
    <xf numFmtId="0" fontId="1" fillId="0" borderId="5" xfId="1" applyBorder="1">
      <alignment vertical="top"/>
    </xf>
    <xf numFmtId="0" fontId="6" fillId="4" borderId="0" xfId="0" applyFont="1" applyFill="1">
      <alignment vertical="top"/>
    </xf>
    <xf numFmtId="43" fontId="5" fillId="0" borderId="7" xfId="1" applyNumberFormat="1" applyFont="1" applyBorder="1">
      <alignment vertical="top"/>
    </xf>
    <xf numFmtId="0" fontId="10" fillId="0" borderId="0" xfId="0" applyFont="1">
      <alignment vertical="top"/>
    </xf>
    <xf numFmtId="43" fontId="6" fillId="5" borderId="3" xfId="3" applyFont="1" applyFill="1" applyBorder="1" applyAlignment="1">
      <alignment horizontal="center" vertical="top"/>
    </xf>
    <xf numFmtId="43" fontId="6" fillId="5" borderId="0" xfId="1" applyNumberFormat="1" applyFont="1" applyFill="1">
      <alignment vertical="top"/>
    </xf>
    <xf numFmtId="43" fontId="5" fillId="5" borderId="0" xfId="1" applyNumberFormat="1" applyFont="1" applyFill="1">
      <alignment vertical="top"/>
    </xf>
    <xf numFmtId="0" fontId="6" fillId="0" borderId="8" xfId="1" applyFont="1" applyBorder="1">
      <alignment vertical="top"/>
    </xf>
    <xf numFmtId="43" fontId="6" fillId="4" borderId="7" xfId="1" applyNumberFormat="1" applyFont="1" applyFill="1" applyBorder="1">
      <alignment vertical="top"/>
    </xf>
    <xf numFmtId="0" fontId="5" fillId="5" borderId="0" xfId="1" applyFont="1" applyFill="1">
      <alignment vertical="top"/>
    </xf>
    <xf numFmtId="0" fontId="5" fillId="5" borderId="0" xfId="0" applyFont="1" applyFill="1">
      <alignment vertical="top"/>
    </xf>
    <xf numFmtId="43" fontId="5" fillId="5" borderId="7" xfId="3" applyFont="1" applyFill="1" applyBorder="1" applyAlignment="1">
      <alignment horizontal="center" vertical="top"/>
    </xf>
    <xf numFmtId="0" fontId="5" fillId="5" borderId="4" xfId="0" applyFont="1" applyFill="1" applyBorder="1">
      <alignment vertical="top"/>
    </xf>
    <xf numFmtId="43" fontId="5" fillId="5" borderId="5" xfId="3" applyFont="1" applyFill="1" applyBorder="1" applyAlignment="1">
      <alignment horizontal="center" vertical="top"/>
    </xf>
    <xf numFmtId="43" fontId="5" fillId="5" borderId="7" xfId="1" applyNumberFormat="1" applyFont="1" applyFill="1" applyBorder="1">
      <alignment vertical="top"/>
    </xf>
    <xf numFmtId="0" fontId="6" fillId="5" borderId="0" xfId="1" applyFont="1" applyFill="1">
      <alignment vertical="top"/>
    </xf>
    <xf numFmtId="43" fontId="5" fillId="5" borderId="0" xfId="3" applyFont="1" applyFill="1" applyBorder="1" applyAlignment="1">
      <alignment horizontal="center" vertical="top"/>
    </xf>
    <xf numFmtId="0" fontId="5" fillId="5" borderId="4" xfId="1" applyFont="1" applyFill="1" applyBorder="1">
      <alignment vertical="top"/>
    </xf>
    <xf numFmtId="43" fontId="5" fillId="5" borderId="4" xfId="3" applyFont="1" applyFill="1" applyBorder="1" applyAlignment="1">
      <alignment horizontal="center" vertical="top"/>
    </xf>
    <xf numFmtId="0" fontId="5" fillId="5" borderId="3" xfId="1" applyFont="1" applyFill="1" applyBorder="1">
      <alignment vertical="top"/>
    </xf>
    <xf numFmtId="0" fontId="6" fillId="5" borderId="3" xfId="1" applyFont="1" applyFill="1" applyBorder="1">
      <alignment vertical="top"/>
    </xf>
    <xf numFmtId="0" fontId="5" fillId="5" borderId="6" xfId="1" applyFont="1" applyFill="1" applyBorder="1">
      <alignment vertical="top"/>
    </xf>
    <xf numFmtId="43" fontId="5" fillId="5" borderId="4" xfId="1" applyNumberFormat="1" applyFont="1" applyFill="1" applyBorder="1">
      <alignment vertical="top"/>
    </xf>
    <xf numFmtId="0" fontId="6" fillId="5" borderId="6" xfId="1" applyFont="1" applyFill="1" applyBorder="1">
      <alignment vertical="top"/>
    </xf>
    <xf numFmtId="43" fontId="6" fillId="5" borderId="4" xfId="1" applyNumberFormat="1" applyFont="1" applyFill="1" applyBorder="1">
      <alignment vertical="top"/>
    </xf>
    <xf numFmtId="43" fontId="6" fillId="0" borderId="7" xfId="3" applyFont="1" applyBorder="1" applyAlignment="1">
      <alignment horizontal="center" vertical="top"/>
    </xf>
    <xf numFmtId="0" fontId="6" fillId="4" borderId="4" xfId="0" applyFont="1" applyFill="1" applyBorder="1">
      <alignment vertical="top"/>
    </xf>
    <xf numFmtId="43" fontId="6" fillId="4" borderId="5" xfId="3" applyFont="1" applyFill="1" applyBorder="1" applyAlignment="1">
      <alignment horizontal="center" vertical="top"/>
    </xf>
    <xf numFmtId="0" fontId="5" fillId="5" borderId="6" xfId="0" applyFont="1" applyFill="1" applyBorder="1">
      <alignment vertical="top"/>
    </xf>
    <xf numFmtId="0" fontId="11" fillId="0" borderId="4" xfId="1" applyFont="1" applyBorder="1">
      <alignment vertical="top"/>
    </xf>
    <xf numFmtId="0" fontId="1" fillId="5" borderId="0" xfId="1" applyFill="1">
      <alignment vertical="top"/>
    </xf>
    <xf numFmtId="43" fontId="6" fillId="5" borderId="0" xfId="3" applyFont="1" applyFill="1" applyBorder="1" applyAlignment="1">
      <alignment horizontal="center" vertical="top"/>
    </xf>
    <xf numFmtId="0" fontId="5" fillId="5" borderId="2" xfId="1" applyFont="1" applyFill="1" applyBorder="1">
      <alignment vertical="top"/>
    </xf>
    <xf numFmtId="43" fontId="6" fillId="5" borderId="2" xfId="1" applyNumberFormat="1" applyFont="1" applyFill="1" applyBorder="1">
      <alignment vertical="top"/>
    </xf>
    <xf numFmtId="43" fontId="5" fillId="5" borderId="5" xfId="1" applyNumberFormat="1" applyFont="1" applyFill="1" applyBorder="1">
      <alignment vertical="top"/>
    </xf>
    <xf numFmtId="0" fontId="6" fillId="5" borderId="4" xfId="1" applyFont="1" applyFill="1" applyBorder="1">
      <alignment vertical="top"/>
    </xf>
    <xf numFmtId="0" fontId="11" fillId="5" borderId="2" xfId="1" applyFont="1" applyFill="1" applyBorder="1">
      <alignment vertical="top"/>
    </xf>
    <xf numFmtId="0" fontId="5" fillId="5" borderId="3" xfId="0" applyFont="1" applyFill="1" applyBorder="1">
      <alignment vertical="top"/>
    </xf>
    <xf numFmtId="0" fontId="9" fillId="0" borderId="1" xfId="1" applyFont="1" applyBorder="1">
      <alignment vertical="top"/>
    </xf>
    <xf numFmtId="0" fontId="6" fillId="4" borderId="4" xfId="1" applyFont="1" applyFill="1" applyBorder="1">
      <alignment vertical="top"/>
    </xf>
    <xf numFmtId="43" fontId="5" fillId="0" borderId="4" xfId="1" applyNumberFormat="1" applyFont="1" applyBorder="1">
      <alignment vertical="top"/>
    </xf>
    <xf numFmtId="2" fontId="5" fillId="4" borderId="0" xfId="1" applyNumberFormat="1" applyFont="1" applyFill="1">
      <alignment vertical="top"/>
    </xf>
    <xf numFmtId="43" fontId="5" fillId="4" borderId="0" xfId="1" applyNumberFormat="1" applyFont="1" applyFill="1">
      <alignment vertical="top"/>
    </xf>
    <xf numFmtId="0" fontId="10" fillId="5" borderId="0" xfId="1" applyFont="1" applyFill="1">
      <alignment vertical="top"/>
    </xf>
    <xf numFmtId="164" fontId="6" fillId="0" borderId="0" xfId="1" applyNumberFormat="1" applyFont="1" applyAlignment="1">
      <alignment horizontal="center" vertical="top"/>
    </xf>
    <xf numFmtId="164" fontId="6" fillId="0" borderId="9" xfId="1" applyNumberFormat="1" applyFont="1" applyBorder="1" applyAlignment="1">
      <alignment horizontal="center" vertical="top"/>
    </xf>
    <xf numFmtId="43" fontId="6" fillId="0" borderId="9" xfId="3" applyFont="1" applyBorder="1" applyAlignment="1">
      <alignment horizontal="center" vertical="top"/>
    </xf>
    <xf numFmtId="43" fontId="5" fillId="0" borderId="9" xfId="3" applyFont="1" applyBorder="1" applyAlignment="1">
      <alignment horizontal="center" vertical="top"/>
    </xf>
    <xf numFmtId="0" fontId="6" fillId="5" borderId="2" xfId="1" applyFont="1" applyFill="1" applyBorder="1">
      <alignment vertical="top"/>
    </xf>
    <xf numFmtId="43" fontId="5" fillId="5" borderId="2" xfId="1" applyNumberFormat="1" applyFont="1" applyFill="1" applyBorder="1">
      <alignment vertical="top"/>
    </xf>
    <xf numFmtId="0" fontId="5" fillId="0" borderId="4" xfId="0" applyFont="1" applyBorder="1">
      <alignment vertical="top"/>
    </xf>
    <xf numFmtId="43" fontId="6" fillId="0" borderId="5" xfId="3" applyFont="1" applyFill="1" applyBorder="1" applyAlignment="1">
      <alignment horizontal="center" vertical="top"/>
    </xf>
    <xf numFmtId="0" fontId="6" fillId="5" borderId="0" xfId="1" applyFont="1" applyFill="1" applyAlignment="1">
      <alignment horizontal="center" vertical="top"/>
    </xf>
    <xf numFmtId="0" fontId="6" fillId="0" borderId="0" xfId="1" applyFont="1" applyAlignment="1">
      <alignment horizontal="center" vertical="top"/>
    </xf>
    <xf numFmtId="43" fontId="5" fillId="0" borderId="7" xfId="3" applyFont="1" applyFill="1" applyBorder="1" applyAlignment="1">
      <alignment horizontal="center" vertical="top"/>
    </xf>
    <xf numFmtId="43" fontId="5" fillId="0" borderId="5" xfId="3" applyFont="1" applyFill="1" applyBorder="1" applyAlignment="1">
      <alignment horizontal="center" vertical="top"/>
    </xf>
    <xf numFmtId="0" fontId="9" fillId="0" borderId="0" xfId="1" applyFont="1">
      <alignment vertical="top"/>
    </xf>
    <xf numFmtId="43" fontId="6" fillId="0" borderId="7" xfId="3" applyFont="1" applyFill="1" applyBorder="1" applyAlignment="1">
      <alignment horizontal="center" vertical="top"/>
    </xf>
    <xf numFmtId="43" fontId="6" fillId="0" borderId="8" xfId="3" applyFont="1" applyBorder="1" applyAlignment="1">
      <alignment horizontal="center" vertical="top"/>
    </xf>
    <xf numFmtId="43" fontId="5" fillId="0" borderId="2" xfId="1" applyNumberFormat="1" applyFont="1" applyBorder="1" applyAlignment="1">
      <alignment horizontal="center" vertical="top"/>
    </xf>
    <xf numFmtId="0" fontId="5" fillId="0" borderId="0" xfId="1" applyFont="1" applyAlignment="1">
      <alignment horizontal="center" vertical="top"/>
    </xf>
    <xf numFmtId="43" fontId="5" fillId="0" borderId="8" xfId="1" applyNumberFormat="1" applyFont="1" applyBorder="1" applyAlignment="1">
      <alignment horizontal="center" vertical="top"/>
    </xf>
    <xf numFmtId="0" fontId="5" fillId="0" borderId="8" xfId="1" applyFont="1" applyBorder="1" applyAlignment="1">
      <alignment horizontal="center" vertical="top"/>
    </xf>
    <xf numFmtId="0" fontId="12" fillId="0" borderId="2" xfId="1" applyFont="1" applyBorder="1">
      <alignment vertical="top"/>
    </xf>
    <xf numFmtId="43" fontId="12" fillId="0" borderId="1" xfId="1" applyNumberFormat="1" applyFont="1" applyBorder="1">
      <alignment vertical="top"/>
    </xf>
    <xf numFmtId="43" fontId="9" fillId="0" borderId="0" xfId="1" applyNumberFormat="1" applyFont="1">
      <alignment vertical="top"/>
    </xf>
    <xf numFmtId="43" fontId="12" fillId="0" borderId="0" xfId="1" applyNumberFormat="1" applyFont="1">
      <alignment vertical="top"/>
    </xf>
    <xf numFmtId="43" fontId="12" fillId="0" borderId="2" xfId="1" applyNumberFormat="1" applyFont="1" applyBorder="1">
      <alignment vertical="top"/>
    </xf>
    <xf numFmtId="43" fontId="9" fillId="0" borderId="1" xfId="1" applyNumberFormat="1" applyFont="1" applyBorder="1">
      <alignment vertical="top"/>
    </xf>
    <xf numFmtId="0" fontId="6" fillId="4" borderId="0" xfId="1" applyFont="1" applyFill="1">
      <alignment vertical="top"/>
    </xf>
    <xf numFmtId="43" fontId="6" fillId="4" borderId="0" xfId="1" applyNumberFormat="1" applyFont="1" applyFill="1">
      <alignment vertical="top"/>
    </xf>
    <xf numFmtId="0" fontId="6" fillId="4" borderId="3" xfId="1" applyFont="1" applyFill="1" applyBorder="1">
      <alignment vertical="top"/>
    </xf>
    <xf numFmtId="0" fontId="6" fillId="4" borderId="3" xfId="0" applyFont="1" applyFill="1" applyBorder="1">
      <alignment vertical="top"/>
    </xf>
    <xf numFmtId="0" fontId="6" fillId="4" borderId="6" xfId="1" applyFont="1" applyFill="1" applyBorder="1">
      <alignment vertical="top"/>
    </xf>
    <xf numFmtId="0" fontId="5" fillId="4" borderId="0" xfId="0" applyFont="1" applyFill="1">
      <alignment vertical="top"/>
    </xf>
    <xf numFmtId="43" fontId="5" fillId="4" borderId="7" xfId="3" applyFont="1" applyFill="1" applyBorder="1" applyAlignment="1">
      <alignment horizontal="center" vertical="top"/>
    </xf>
    <xf numFmtId="0" fontId="5" fillId="4" borderId="4" xfId="0" applyFont="1" applyFill="1" applyBorder="1">
      <alignment vertical="top"/>
    </xf>
    <xf numFmtId="43" fontId="5" fillId="4" borderId="5" xfId="3" applyFont="1" applyFill="1" applyBorder="1" applyAlignment="1">
      <alignment horizontal="center" vertical="top"/>
    </xf>
    <xf numFmtId="0" fontId="5" fillId="4" borderId="0" xfId="1" applyFont="1" applyFill="1">
      <alignment vertical="top"/>
    </xf>
    <xf numFmtId="43" fontId="5" fillId="4" borderId="7" xfId="1" applyNumberFormat="1" applyFont="1" applyFill="1" applyBorder="1">
      <alignment vertical="top"/>
    </xf>
    <xf numFmtId="0" fontId="5" fillId="4" borderId="3" xfId="1" applyFont="1" applyFill="1" applyBorder="1">
      <alignment vertical="top"/>
    </xf>
    <xf numFmtId="0" fontId="5" fillId="4" borderId="3" xfId="0" applyFont="1" applyFill="1" applyBorder="1">
      <alignment vertical="top"/>
    </xf>
    <xf numFmtId="43" fontId="5" fillId="4" borderId="0" xfId="3" applyFont="1" applyFill="1" applyBorder="1" applyAlignment="1">
      <alignment horizontal="center" vertical="top"/>
    </xf>
    <xf numFmtId="0" fontId="5" fillId="4" borderId="6" xfId="0" applyFont="1" applyFill="1" applyBorder="1">
      <alignment vertical="top"/>
    </xf>
    <xf numFmtId="43" fontId="5" fillId="4" borderId="4" xfId="3" applyFont="1" applyFill="1" applyBorder="1" applyAlignment="1">
      <alignment horizontal="center" vertical="top"/>
    </xf>
    <xf numFmtId="43" fontId="5" fillId="4" borderId="5" xfId="1" applyNumberFormat="1" applyFont="1" applyFill="1" applyBorder="1">
      <alignment vertical="top"/>
    </xf>
    <xf numFmtId="0" fontId="5" fillId="4" borderId="6" xfId="1" applyFont="1" applyFill="1" applyBorder="1">
      <alignment vertical="top"/>
    </xf>
    <xf numFmtId="0" fontId="5" fillId="4" borderId="4" xfId="1" applyFont="1" applyFill="1" applyBorder="1">
      <alignment vertical="top"/>
    </xf>
    <xf numFmtId="0" fontId="5" fillId="4" borderId="2" xfId="1" applyFont="1" applyFill="1" applyBorder="1">
      <alignment vertical="top"/>
    </xf>
    <xf numFmtId="43" fontId="5" fillId="4" borderId="8" xfId="1" applyNumberFormat="1" applyFont="1" applyFill="1" applyBorder="1">
      <alignment vertical="top"/>
    </xf>
    <xf numFmtId="43" fontId="6" fillId="4" borderId="4" xfId="1" applyNumberFormat="1" applyFont="1" applyFill="1" applyBorder="1">
      <alignment vertical="top"/>
    </xf>
    <xf numFmtId="43" fontId="5" fillId="4" borderId="4" xfId="1" applyNumberFormat="1" applyFont="1" applyFill="1" applyBorder="1">
      <alignment vertical="top"/>
    </xf>
    <xf numFmtId="0" fontId="5" fillId="5" borderId="0" xfId="1" applyFont="1" applyFill="1" applyAlignment="1">
      <alignment horizontal="center" vertical="top"/>
    </xf>
    <xf numFmtId="0" fontId="5" fillId="5" borderId="7" xfId="1" applyFont="1" applyFill="1" applyBorder="1" applyAlignment="1">
      <alignment horizontal="center" vertical="top"/>
    </xf>
    <xf numFmtId="43" fontId="6" fillId="0" borderId="8" xfId="1" applyNumberFormat="1" applyFont="1" applyBorder="1">
      <alignment vertical="top"/>
    </xf>
    <xf numFmtId="43" fontId="6" fillId="5" borderId="8" xfId="1" applyNumberFormat="1" applyFont="1" applyFill="1" applyBorder="1">
      <alignment vertical="top"/>
    </xf>
  </cellXfs>
  <cellStyles count="4">
    <cellStyle name="Comma" xfId="3" builtinId="3"/>
    <cellStyle name="Normal" xfId="0" builtinId="0"/>
    <cellStyle name="Normal 2" xfId="1" xr:uid="{247A92A2-6B02-40AF-B05F-4D0105941E91}"/>
    <cellStyle name="Percent 2" xfId="2" xr:uid="{1E800325-BBE5-4128-8850-C51EDC30A24E}"/>
  </cellStyles>
  <dxfs count="6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CE56-4E77-4161-A3D8-7452A85693B5}">
  <sheetPr>
    <pageSetUpPr fitToPage="1"/>
  </sheetPr>
  <dimension ref="A1:S70"/>
  <sheetViews>
    <sheetView topLeftCell="A3" zoomScaleNormal="100" workbookViewId="0">
      <selection activeCell="E29" sqref="E29"/>
    </sheetView>
  </sheetViews>
  <sheetFormatPr defaultRowHeight="12.75" x14ac:dyDescent="0.2"/>
  <cols>
    <col min="1" max="1" width="21.140625" style="5" customWidth="1"/>
    <col min="2" max="4" width="11" style="5" customWidth="1"/>
    <col min="5" max="5" width="11.42578125" style="5" customWidth="1"/>
    <col min="6" max="6" width="11" style="5" customWidth="1"/>
    <col min="7" max="8" width="9.140625" style="5"/>
    <col min="9" max="9" width="20.42578125" style="5" customWidth="1"/>
    <col min="10" max="10" width="11.5703125" style="5" bestFit="1" customWidth="1"/>
    <col min="11" max="11" width="19.28515625" style="5" customWidth="1"/>
    <col min="12" max="12" width="11.5703125" style="5" bestFit="1" customWidth="1"/>
    <col min="13" max="13" width="3.7109375" style="5" customWidth="1"/>
    <col min="14" max="14" width="20.7109375" style="5" bestFit="1" customWidth="1"/>
    <col min="15" max="15" width="9.140625" style="5"/>
    <col min="16" max="16" width="11.28515625" style="5" customWidth="1"/>
    <col min="17" max="17" width="16" style="5" customWidth="1"/>
    <col min="18" max="18" width="12" style="5" customWidth="1"/>
    <col min="19" max="19" width="11.42578125" style="5" customWidth="1"/>
    <col min="20" max="227" width="9.140625" style="5"/>
    <col min="228" max="228" width="21.140625" style="5" customWidth="1"/>
    <col min="229" max="229" width="11" style="5" customWidth="1"/>
    <col min="230" max="230" width="9" style="5" customWidth="1"/>
    <col min="231" max="231" width="0.7109375" style="5" customWidth="1"/>
    <col min="232" max="232" width="11" style="5" customWidth="1"/>
    <col min="233" max="233" width="9.140625" style="5"/>
    <col min="234" max="234" width="0.7109375" style="5" customWidth="1"/>
    <col min="235" max="235" width="11" style="5" customWidth="1"/>
    <col min="236" max="236" width="9.140625" style="5"/>
    <col min="237" max="237" width="0.7109375" style="5" customWidth="1"/>
    <col min="238" max="238" width="16.42578125" style="5" customWidth="1"/>
    <col min="239" max="239" width="9.140625" style="5"/>
    <col min="240" max="240" width="0.7109375" style="5" customWidth="1"/>
    <col min="241" max="241" width="11" style="5" customWidth="1"/>
    <col min="242" max="242" width="9.140625" style="5"/>
    <col min="243" max="243" width="0.7109375" style="5" customWidth="1"/>
    <col min="244" max="244" width="11" style="5" customWidth="1"/>
    <col min="245" max="245" width="9.140625" style="5"/>
    <col min="246" max="246" width="0.7109375" style="5" customWidth="1"/>
    <col min="247" max="247" width="11" style="5" customWidth="1"/>
    <col min="248" max="248" width="9.140625" style="5"/>
    <col min="249" max="249" width="0.7109375" style="5" customWidth="1"/>
    <col min="250" max="250" width="11" style="5" customWidth="1"/>
    <col min="251" max="251" width="9.140625" style="5"/>
    <col min="252" max="252" width="0.7109375" style="5" customWidth="1"/>
    <col min="253" max="253" width="11" style="5" customWidth="1"/>
    <col min="254" max="483" width="9.140625" style="5"/>
    <col min="484" max="484" width="21.140625" style="5" customWidth="1"/>
    <col min="485" max="485" width="11" style="5" customWidth="1"/>
    <col min="486" max="486" width="9" style="5" customWidth="1"/>
    <col min="487" max="487" width="0.7109375" style="5" customWidth="1"/>
    <col min="488" max="488" width="11" style="5" customWidth="1"/>
    <col min="489" max="489" width="9.140625" style="5"/>
    <col min="490" max="490" width="0.7109375" style="5" customWidth="1"/>
    <col min="491" max="491" width="11" style="5" customWidth="1"/>
    <col min="492" max="492" width="9.140625" style="5"/>
    <col min="493" max="493" width="0.7109375" style="5" customWidth="1"/>
    <col min="494" max="494" width="16.42578125" style="5" customWidth="1"/>
    <col min="495" max="495" width="9.140625" style="5"/>
    <col min="496" max="496" width="0.7109375" style="5" customWidth="1"/>
    <col min="497" max="497" width="11" style="5" customWidth="1"/>
    <col min="498" max="498" width="9.140625" style="5"/>
    <col min="499" max="499" width="0.7109375" style="5" customWidth="1"/>
    <col min="500" max="500" width="11" style="5" customWidth="1"/>
    <col min="501" max="501" width="9.140625" style="5"/>
    <col min="502" max="502" width="0.7109375" style="5" customWidth="1"/>
    <col min="503" max="503" width="11" style="5" customWidth="1"/>
    <col min="504" max="504" width="9.140625" style="5"/>
    <col min="505" max="505" width="0.7109375" style="5" customWidth="1"/>
    <col min="506" max="506" width="11" style="5" customWidth="1"/>
    <col min="507" max="507" width="9.140625" style="5"/>
    <col min="508" max="508" width="0.7109375" style="5" customWidth="1"/>
    <col min="509" max="509" width="11" style="5" customWidth="1"/>
    <col min="510" max="739" width="9.140625" style="5"/>
    <col min="740" max="740" width="21.140625" style="5" customWidth="1"/>
    <col min="741" max="741" width="11" style="5" customWidth="1"/>
    <col min="742" max="742" width="9" style="5" customWidth="1"/>
    <col min="743" max="743" width="0.7109375" style="5" customWidth="1"/>
    <col min="744" max="744" width="11" style="5" customWidth="1"/>
    <col min="745" max="745" width="9.140625" style="5"/>
    <col min="746" max="746" width="0.7109375" style="5" customWidth="1"/>
    <col min="747" max="747" width="11" style="5" customWidth="1"/>
    <col min="748" max="748" width="9.140625" style="5"/>
    <col min="749" max="749" width="0.7109375" style="5" customWidth="1"/>
    <col min="750" max="750" width="16.42578125" style="5" customWidth="1"/>
    <col min="751" max="751" width="9.140625" style="5"/>
    <col min="752" max="752" width="0.7109375" style="5" customWidth="1"/>
    <col min="753" max="753" width="11" style="5" customWidth="1"/>
    <col min="754" max="754" width="9.140625" style="5"/>
    <col min="755" max="755" width="0.7109375" style="5" customWidth="1"/>
    <col min="756" max="756" width="11" style="5" customWidth="1"/>
    <col min="757" max="757" width="9.140625" style="5"/>
    <col min="758" max="758" width="0.7109375" style="5" customWidth="1"/>
    <col min="759" max="759" width="11" style="5" customWidth="1"/>
    <col min="760" max="760" width="9.140625" style="5"/>
    <col min="761" max="761" width="0.7109375" style="5" customWidth="1"/>
    <col min="762" max="762" width="11" style="5" customWidth="1"/>
    <col min="763" max="763" width="9.140625" style="5"/>
    <col min="764" max="764" width="0.7109375" style="5" customWidth="1"/>
    <col min="765" max="765" width="11" style="5" customWidth="1"/>
    <col min="766" max="995" width="9.140625" style="5"/>
    <col min="996" max="996" width="21.140625" style="5" customWidth="1"/>
    <col min="997" max="997" width="11" style="5" customWidth="1"/>
    <col min="998" max="998" width="9" style="5" customWidth="1"/>
    <col min="999" max="999" width="0.7109375" style="5" customWidth="1"/>
    <col min="1000" max="1000" width="11" style="5" customWidth="1"/>
    <col min="1001" max="1001" width="9.140625" style="5"/>
    <col min="1002" max="1002" width="0.7109375" style="5" customWidth="1"/>
    <col min="1003" max="1003" width="11" style="5" customWidth="1"/>
    <col min="1004" max="1004" width="9.140625" style="5"/>
    <col min="1005" max="1005" width="0.7109375" style="5" customWidth="1"/>
    <col min="1006" max="1006" width="16.42578125" style="5" customWidth="1"/>
    <col min="1007" max="1007" width="9.140625" style="5"/>
    <col min="1008" max="1008" width="0.7109375" style="5" customWidth="1"/>
    <col min="1009" max="1009" width="11" style="5" customWidth="1"/>
    <col min="1010" max="1010" width="9.140625" style="5"/>
    <col min="1011" max="1011" width="0.7109375" style="5" customWidth="1"/>
    <col min="1012" max="1012" width="11" style="5" customWidth="1"/>
    <col min="1013" max="1013" width="9.140625" style="5"/>
    <col min="1014" max="1014" width="0.7109375" style="5" customWidth="1"/>
    <col min="1015" max="1015" width="11" style="5" customWidth="1"/>
    <col min="1016" max="1016" width="9.140625" style="5"/>
    <col min="1017" max="1017" width="0.7109375" style="5" customWidth="1"/>
    <col min="1018" max="1018" width="11" style="5" customWidth="1"/>
    <col min="1019" max="1019" width="9.140625" style="5"/>
    <col min="1020" max="1020" width="0.7109375" style="5" customWidth="1"/>
    <col min="1021" max="1021" width="11" style="5" customWidth="1"/>
    <col min="1022" max="1251" width="9.140625" style="5"/>
    <col min="1252" max="1252" width="21.140625" style="5" customWidth="1"/>
    <col min="1253" max="1253" width="11" style="5" customWidth="1"/>
    <col min="1254" max="1254" width="9" style="5" customWidth="1"/>
    <col min="1255" max="1255" width="0.7109375" style="5" customWidth="1"/>
    <col min="1256" max="1256" width="11" style="5" customWidth="1"/>
    <col min="1257" max="1257" width="9.140625" style="5"/>
    <col min="1258" max="1258" width="0.7109375" style="5" customWidth="1"/>
    <col min="1259" max="1259" width="11" style="5" customWidth="1"/>
    <col min="1260" max="1260" width="9.140625" style="5"/>
    <col min="1261" max="1261" width="0.7109375" style="5" customWidth="1"/>
    <col min="1262" max="1262" width="16.42578125" style="5" customWidth="1"/>
    <col min="1263" max="1263" width="9.140625" style="5"/>
    <col min="1264" max="1264" width="0.7109375" style="5" customWidth="1"/>
    <col min="1265" max="1265" width="11" style="5" customWidth="1"/>
    <col min="1266" max="1266" width="9.140625" style="5"/>
    <col min="1267" max="1267" width="0.7109375" style="5" customWidth="1"/>
    <col min="1268" max="1268" width="11" style="5" customWidth="1"/>
    <col min="1269" max="1269" width="9.140625" style="5"/>
    <col min="1270" max="1270" width="0.7109375" style="5" customWidth="1"/>
    <col min="1271" max="1271" width="11" style="5" customWidth="1"/>
    <col min="1272" max="1272" width="9.140625" style="5"/>
    <col min="1273" max="1273" width="0.7109375" style="5" customWidth="1"/>
    <col min="1274" max="1274" width="11" style="5" customWidth="1"/>
    <col min="1275" max="1275" width="9.140625" style="5"/>
    <col min="1276" max="1276" width="0.7109375" style="5" customWidth="1"/>
    <col min="1277" max="1277" width="11" style="5" customWidth="1"/>
    <col min="1278" max="1507" width="9.140625" style="5"/>
    <col min="1508" max="1508" width="21.140625" style="5" customWidth="1"/>
    <col min="1509" max="1509" width="11" style="5" customWidth="1"/>
    <col min="1510" max="1510" width="9" style="5" customWidth="1"/>
    <col min="1511" max="1511" width="0.7109375" style="5" customWidth="1"/>
    <col min="1512" max="1512" width="11" style="5" customWidth="1"/>
    <col min="1513" max="1513" width="9.140625" style="5"/>
    <col min="1514" max="1514" width="0.7109375" style="5" customWidth="1"/>
    <col min="1515" max="1515" width="11" style="5" customWidth="1"/>
    <col min="1516" max="1516" width="9.140625" style="5"/>
    <col min="1517" max="1517" width="0.7109375" style="5" customWidth="1"/>
    <col min="1518" max="1518" width="16.42578125" style="5" customWidth="1"/>
    <col min="1519" max="1519" width="9.140625" style="5"/>
    <col min="1520" max="1520" width="0.7109375" style="5" customWidth="1"/>
    <col min="1521" max="1521" width="11" style="5" customWidth="1"/>
    <col min="1522" max="1522" width="9.140625" style="5"/>
    <col min="1523" max="1523" width="0.7109375" style="5" customWidth="1"/>
    <col min="1524" max="1524" width="11" style="5" customWidth="1"/>
    <col min="1525" max="1525" width="9.140625" style="5"/>
    <col min="1526" max="1526" width="0.7109375" style="5" customWidth="1"/>
    <col min="1527" max="1527" width="11" style="5" customWidth="1"/>
    <col min="1528" max="1528" width="9.140625" style="5"/>
    <col min="1529" max="1529" width="0.7109375" style="5" customWidth="1"/>
    <col min="1530" max="1530" width="11" style="5" customWidth="1"/>
    <col min="1531" max="1531" width="9.140625" style="5"/>
    <col min="1532" max="1532" width="0.7109375" style="5" customWidth="1"/>
    <col min="1533" max="1533" width="11" style="5" customWidth="1"/>
    <col min="1534" max="1763" width="9.140625" style="5"/>
    <col min="1764" max="1764" width="21.140625" style="5" customWidth="1"/>
    <col min="1765" max="1765" width="11" style="5" customWidth="1"/>
    <col min="1766" max="1766" width="9" style="5" customWidth="1"/>
    <col min="1767" max="1767" width="0.7109375" style="5" customWidth="1"/>
    <col min="1768" max="1768" width="11" style="5" customWidth="1"/>
    <col min="1769" max="1769" width="9.140625" style="5"/>
    <col min="1770" max="1770" width="0.7109375" style="5" customWidth="1"/>
    <col min="1771" max="1771" width="11" style="5" customWidth="1"/>
    <col min="1772" max="1772" width="9.140625" style="5"/>
    <col min="1773" max="1773" width="0.7109375" style="5" customWidth="1"/>
    <col min="1774" max="1774" width="16.42578125" style="5" customWidth="1"/>
    <col min="1775" max="1775" width="9.140625" style="5"/>
    <col min="1776" max="1776" width="0.7109375" style="5" customWidth="1"/>
    <col min="1777" max="1777" width="11" style="5" customWidth="1"/>
    <col min="1778" max="1778" width="9.140625" style="5"/>
    <col min="1779" max="1779" width="0.7109375" style="5" customWidth="1"/>
    <col min="1780" max="1780" width="11" style="5" customWidth="1"/>
    <col min="1781" max="1781" width="9.140625" style="5"/>
    <col min="1782" max="1782" width="0.7109375" style="5" customWidth="1"/>
    <col min="1783" max="1783" width="11" style="5" customWidth="1"/>
    <col min="1784" max="1784" width="9.140625" style="5"/>
    <col min="1785" max="1785" width="0.7109375" style="5" customWidth="1"/>
    <col min="1786" max="1786" width="11" style="5" customWidth="1"/>
    <col min="1787" max="1787" width="9.140625" style="5"/>
    <col min="1788" max="1788" width="0.7109375" style="5" customWidth="1"/>
    <col min="1789" max="1789" width="11" style="5" customWidth="1"/>
    <col min="1790" max="2019" width="9.140625" style="5"/>
    <col min="2020" max="2020" width="21.140625" style="5" customWidth="1"/>
    <col min="2021" max="2021" width="11" style="5" customWidth="1"/>
    <col min="2022" max="2022" width="9" style="5" customWidth="1"/>
    <col min="2023" max="2023" width="0.7109375" style="5" customWidth="1"/>
    <col min="2024" max="2024" width="11" style="5" customWidth="1"/>
    <col min="2025" max="2025" width="9.140625" style="5"/>
    <col min="2026" max="2026" width="0.7109375" style="5" customWidth="1"/>
    <col min="2027" max="2027" width="11" style="5" customWidth="1"/>
    <col min="2028" max="2028" width="9.140625" style="5"/>
    <col min="2029" max="2029" width="0.7109375" style="5" customWidth="1"/>
    <col min="2030" max="2030" width="16.42578125" style="5" customWidth="1"/>
    <col min="2031" max="2031" width="9.140625" style="5"/>
    <col min="2032" max="2032" width="0.7109375" style="5" customWidth="1"/>
    <col min="2033" max="2033" width="11" style="5" customWidth="1"/>
    <col min="2034" max="2034" width="9.140625" style="5"/>
    <col min="2035" max="2035" width="0.7109375" style="5" customWidth="1"/>
    <col min="2036" max="2036" width="11" style="5" customWidth="1"/>
    <col min="2037" max="2037" width="9.140625" style="5"/>
    <col min="2038" max="2038" width="0.7109375" style="5" customWidth="1"/>
    <col min="2039" max="2039" width="11" style="5" customWidth="1"/>
    <col min="2040" max="2040" width="9.140625" style="5"/>
    <col min="2041" max="2041" width="0.7109375" style="5" customWidth="1"/>
    <col min="2042" max="2042" width="11" style="5" customWidth="1"/>
    <col min="2043" max="2043" width="9.140625" style="5"/>
    <col min="2044" max="2044" width="0.7109375" style="5" customWidth="1"/>
    <col min="2045" max="2045" width="11" style="5" customWidth="1"/>
    <col min="2046" max="2275" width="9.140625" style="5"/>
    <col min="2276" max="2276" width="21.140625" style="5" customWidth="1"/>
    <col min="2277" max="2277" width="11" style="5" customWidth="1"/>
    <col min="2278" max="2278" width="9" style="5" customWidth="1"/>
    <col min="2279" max="2279" width="0.7109375" style="5" customWidth="1"/>
    <col min="2280" max="2280" width="11" style="5" customWidth="1"/>
    <col min="2281" max="2281" width="9.140625" style="5"/>
    <col min="2282" max="2282" width="0.7109375" style="5" customWidth="1"/>
    <col min="2283" max="2283" width="11" style="5" customWidth="1"/>
    <col min="2284" max="2284" width="9.140625" style="5"/>
    <col min="2285" max="2285" width="0.7109375" style="5" customWidth="1"/>
    <col min="2286" max="2286" width="16.42578125" style="5" customWidth="1"/>
    <col min="2287" max="2287" width="9.140625" style="5"/>
    <col min="2288" max="2288" width="0.7109375" style="5" customWidth="1"/>
    <col min="2289" max="2289" width="11" style="5" customWidth="1"/>
    <col min="2290" max="2290" width="9.140625" style="5"/>
    <col min="2291" max="2291" width="0.7109375" style="5" customWidth="1"/>
    <col min="2292" max="2292" width="11" style="5" customWidth="1"/>
    <col min="2293" max="2293" width="9.140625" style="5"/>
    <col min="2294" max="2294" width="0.7109375" style="5" customWidth="1"/>
    <col min="2295" max="2295" width="11" style="5" customWidth="1"/>
    <col min="2296" max="2296" width="9.140625" style="5"/>
    <col min="2297" max="2297" width="0.7109375" style="5" customWidth="1"/>
    <col min="2298" max="2298" width="11" style="5" customWidth="1"/>
    <col min="2299" max="2299" width="9.140625" style="5"/>
    <col min="2300" max="2300" width="0.7109375" style="5" customWidth="1"/>
    <col min="2301" max="2301" width="11" style="5" customWidth="1"/>
    <col min="2302" max="2531" width="9.140625" style="5"/>
    <col min="2532" max="2532" width="21.140625" style="5" customWidth="1"/>
    <col min="2533" max="2533" width="11" style="5" customWidth="1"/>
    <col min="2534" max="2534" width="9" style="5" customWidth="1"/>
    <col min="2535" max="2535" width="0.7109375" style="5" customWidth="1"/>
    <col min="2536" max="2536" width="11" style="5" customWidth="1"/>
    <col min="2537" max="2537" width="9.140625" style="5"/>
    <col min="2538" max="2538" width="0.7109375" style="5" customWidth="1"/>
    <col min="2539" max="2539" width="11" style="5" customWidth="1"/>
    <col min="2540" max="2540" width="9.140625" style="5"/>
    <col min="2541" max="2541" width="0.7109375" style="5" customWidth="1"/>
    <col min="2542" max="2542" width="16.42578125" style="5" customWidth="1"/>
    <col min="2543" max="2543" width="9.140625" style="5"/>
    <col min="2544" max="2544" width="0.7109375" style="5" customWidth="1"/>
    <col min="2545" max="2545" width="11" style="5" customWidth="1"/>
    <col min="2546" max="2546" width="9.140625" style="5"/>
    <col min="2547" max="2547" width="0.7109375" style="5" customWidth="1"/>
    <col min="2548" max="2548" width="11" style="5" customWidth="1"/>
    <col min="2549" max="2549" width="9.140625" style="5"/>
    <col min="2550" max="2550" width="0.7109375" style="5" customWidth="1"/>
    <col min="2551" max="2551" width="11" style="5" customWidth="1"/>
    <col min="2552" max="2552" width="9.140625" style="5"/>
    <col min="2553" max="2553" width="0.7109375" style="5" customWidth="1"/>
    <col min="2554" max="2554" width="11" style="5" customWidth="1"/>
    <col min="2555" max="2555" width="9.140625" style="5"/>
    <col min="2556" max="2556" width="0.7109375" style="5" customWidth="1"/>
    <col min="2557" max="2557" width="11" style="5" customWidth="1"/>
    <col min="2558" max="2787" width="9.140625" style="5"/>
    <col min="2788" max="2788" width="21.140625" style="5" customWidth="1"/>
    <col min="2789" max="2789" width="11" style="5" customWidth="1"/>
    <col min="2790" max="2790" width="9" style="5" customWidth="1"/>
    <col min="2791" max="2791" width="0.7109375" style="5" customWidth="1"/>
    <col min="2792" max="2792" width="11" style="5" customWidth="1"/>
    <col min="2793" max="2793" width="9.140625" style="5"/>
    <col min="2794" max="2794" width="0.7109375" style="5" customWidth="1"/>
    <col min="2795" max="2795" width="11" style="5" customWidth="1"/>
    <col min="2796" max="2796" width="9.140625" style="5"/>
    <col min="2797" max="2797" width="0.7109375" style="5" customWidth="1"/>
    <col min="2798" max="2798" width="16.42578125" style="5" customWidth="1"/>
    <col min="2799" max="2799" width="9.140625" style="5"/>
    <col min="2800" max="2800" width="0.7109375" style="5" customWidth="1"/>
    <col min="2801" max="2801" width="11" style="5" customWidth="1"/>
    <col min="2802" max="2802" width="9.140625" style="5"/>
    <col min="2803" max="2803" width="0.7109375" style="5" customWidth="1"/>
    <col min="2804" max="2804" width="11" style="5" customWidth="1"/>
    <col min="2805" max="2805" width="9.140625" style="5"/>
    <col min="2806" max="2806" width="0.7109375" style="5" customWidth="1"/>
    <col min="2807" max="2807" width="11" style="5" customWidth="1"/>
    <col min="2808" max="2808" width="9.140625" style="5"/>
    <col min="2809" max="2809" width="0.7109375" style="5" customWidth="1"/>
    <col min="2810" max="2810" width="11" style="5" customWidth="1"/>
    <col min="2811" max="2811" width="9.140625" style="5"/>
    <col min="2812" max="2812" width="0.7109375" style="5" customWidth="1"/>
    <col min="2813" max="2813" width="11" style="5" customWidth="1"/>
    <col min="2814" max="3043" width="9.140625" style="5"/>
    <col min="3044" max="3044" width="21.140625" style="5" customWidth="1"/>
    <col min="3045" max="3045" width="11" style="5" customWidth="1"/>
    <col min="3046" max="3046" width="9" style="5" customWidth="1"/>
    <col min="3047" max="3047" width="0.7109375" style="5" customWidth="1"/>
    <col min="3048" max="3048" width="11" style="5" customWidth="1"/>
    <col min="3049" max="3049" width="9.140625" style="5"/>
    <col min="3050" max="3050" width="0.7109375" style="5" customWidth="1"/>
    <col min="3051" max="3051" width="11" style="5" customWidth="1"/>
    <col min="3052" max="3052" width="9.140625" style="5"/>
    <col min="3053" max="3053" width="0.7109375" style="5" customWidth="1"/>
    <col min="3054" max="3054" width="16.42578125" style="5" customWidth="1"/>
    <col min="3055" max="3055" width="9.140625" style="5"/>
    <col min="3056" max="3056" width="0.7109375" style="5" customWidth="1"/>
    <col min="3057" max="3057" width="11" style="5" customWidth="1"/>
    <col min="3058" max="3058" width="9.140625" style="5"/>
    <col min="3059" max="3059" width="0.7109375" style="5" customWidth="1"/>
    <col min="3060" max="3060" width="11" style="5" customWidth="1"/>
    <col min="3061" max="3061" width="9.140625" style="5"/>
    <col min="3062" max="3062" width="0.7109375" style="5" customWidth="1"/>
    <col min="3063" max="3063" width="11" style="5" customWidth="1"/>
    <col min="3064" max="3064" width="9.140625" style="5"/>
    <col min="3065" max="3065" width="0.7109375" style="5" customWidth="1"/>
    <col min="3066" max="3066" width="11" style="5" customWidth="1"/>
    <col min="3067" max="3067" width="9.140625" style="5"/>
    <col min="3068" max="3068" width="0.7109375" style="5" customWidth="1"/>
    <col min="3069" max="3069" width="11" style="5" customWidth="1"/>
    <col min="3070" max="3299" width="9.140625" style="5"/>
    <col min="3300" max="3300" width="21.140625" style="5" customWidth="1"/>
    <col min="3301" max="3301" width="11" style="5" customWidth="1"/>
    <col min="3302" max="3302" width="9" style="5" customWidth="1"/>
    <col min="3303" max="3303" width="0.7109375" style="5" customWidth="1"/>
    <col min="3304" max="3304" width="11" style="5" customWidth="1"/>
    <col min="3305" max="3305" width="9.140625" style="5"/>
    <col min="3306" max="3306" width="0.7109375" style="5" customWidth="1"/>
    <col min="3307" max="3307" width="11" style="5" customWidth="1"/>
    <col min="3308" max="3308" width="9.140625" style="5"/>
    <col min="3309" max="3309" width="0.7109375" style="5" customWidth="1"/>
    <col min="3310" max="3310" width="16.42578125" style="5" customWidth="1"/>
    <col min="3311" max="3311" width="9.140625" style="5"/>
    <col min="3312" max="3312" width="0.7109375" style="5" customWidth="1"/>
    <col min="3313" max="3313" width="11" style="5" customWidth="1"/>
    <col min="3314" max="3314" width="9.140625" style="5"/>
    <col min="3315" max="3315" width="0.7109375" style="5" customWidth="1"/>
    <col min="3316" max="3316" width="11" style="5" customWidth="1"/>
    <col min="3317" max="3317" width="9.140625" style="5"/>
    <col min="3318" max="3318" width="0.7109375" style="5" customWidth="1"/>
    <col min="3319" max="3319" width="11" style="5" customWidth="1"/>
    <col min="3320" max="3320" width="9.140625" style="5"/>
    <col min="3321" max="3321" width="0.7109375" style="5" customWidth="1"/>
    <col min="3322" max="3322" width="11" style="5" customWidth="1"/>
    <col min="3323" max="3323" width="9.140625" style="5"/>
    <col min="3324" max="3324" width="0.7109375" style="5" customWidth="1"/>
    <col min="3325" max="3325" width="11" style="5" customWidth="1"/>
    <col min="3326" max="3555" width="9.140625" style="5"/>
    <col min="3556" max="3556" width="21.140625" style="5" customWidth="1"/>
    <col min="3557" max="3557" width="11" style="5" customWidth="1"/>
    <col min="3558" max="3558" width="9" style="5" customWidth="1"/>
    <col min="3559" max="3559" width="0.7109375" style="5" customWidth="1"/>
    <col min="3560" max="3560" width="11" style="5" customWidth="1"/>
    <col min="3561" max="3561" width="9.140625" style="5"/>
    <col min="3562" max="3562" width="0.7109375" style="5" customWidth="1"/>
    <col min="3563" max="3563" width="11" style="5" customWidth="1"/>
    <col min="3564" max="3564" width="9.140625" style="5"/>
    <col min="3565" max="3565" width="0.7109375" style="5" customWidth="1"/>
    <col min="3566" max="3566" width="16.42578125" style="5" customWidth="1"/>
    <col min="3567" max="3567" width="9.140625" style="5"/>
    <col min="3568" max="3568" width="0.7109375" style="5" customWidth="1"/>
    <col min="3569" max="3569" width="11" style="5" customWidth="1"/>
    <col min="3570" max="3570" width="9.140625" style="5"/>
    <col min="3571" max="3571" width="0.7109375" style="5" customWidth="1"/>
    <col min="3572" max="3572" width="11" style="5" customWidth="1"/>
    <col min="3573" max="3573" width="9.140625" style="5"/>
    <col min="3574" max="3574" width="0.7109375" style="5" customWidth="1"/>
    <col min="3575" max="3575" width="11" style="5" customWidth="1"/>
    <col min="3576" max="3576" width="9.140625" style="5"/>
    <col min="3577" max="3577" width="0.7109375" style="5" customWidth="1"/>
    <col min="3578" max="3578" width="11" style="5" customWidth="1"/>
    <col min="3579" max="3579" width="9.140625" style="5"/>
    <col min="3580" max="3580" width="0.7109375" style="5" customWidth="1"/>
    <col min="3581" max="3581" width="11" style="5" customWidth="1"/>
    <col min="3582" max="3811" width="9.140625" style="5"/>
    <col min="3812" max="3812" width="21.140625" style="5" customWidth="1"/>
    <col min="3813" max="3813" width="11" style="5" customWidth="1"/>
    <col min="3814" max="3814" width="9" style="5" customWidth="1"/>
    <col min="3815" max="3815" width="0.7109375" style="5" customWidth="1"/>
    <col min="3816" max="3816" width="11" style="5" customWidth="1"/>
    <col min="3817" max="3817" width="9.140625" style="5"/>
    <col min="3818" max="3818" width="0.7109375" style="5" customWidth="1"/>
    <col min="3819" max="3819" width="11" style="5" customWidth="1"/>
    <col min="3820" max="3820" width="9.140625" style="5"/>
    <col min="3821" max="3821" width="0.7109375" style="5" customWidth="1"/>
    <col min="3822" max="3822" width="16.42578125" style="5" customWidth="1"/>
    <col min="3823" max="3823" width="9.140625" style="5"/>
    <col min="3824" max="3824" width="0.7109375" style="5" customWidth="1"/>
    <col min="3825" max="3825" width="11" style="5" customWidth="1"/>
    <col min="3826" max="3826" width="9.140625" style="5"/>
    <col min="3827" max="3827" width="0.7109375" style="5" customWidth="1"/>
    <col min="3828" max="3828" width="11" style="5" customWidth="1"/>
    <col min="3829" max="3829" width="9.140625" style="5"/>
    <col min="3830" max="3830" width="0.7109375" style="5" customWidth="1"/>
    <col min="3831" max="3831" width="11" style="5" customWidth="1"/>
    <col min="3832" max="3832" width="9.140625" style="5"/>
    <col min="3833" max="3833" width="0.7109375" style="5" customWidth="1"/>
    <col min="3834" max="3834" width="11" style="5" customWidth="1"/>
    <col min="3835" max="3835" width="9.140625" style="5"/>
    <col min="3836" max="3836" width="0.7109375" style="5" customWidth="1"/>
    <col min="3837" max="3837" width="11" style="5" customWidth="1"/>
    <col min="3838" max="4067" width="9.140625" style="5"/>
    <col min="4068" max="4068" width="21.140625" style="5" customWidth="1"/>
    <col min="4069" max="4069" width="11" style="5" customWidth="1"/>
    <col min="4070" max="4070" width="9" style="5" customWidth="1"/>
    <col min="4071" max="4071" width="0.7109375" style="5" customWidth="1"/>
    <col min="4072" max="4072" width="11" style="5" customWidth="1"/>
    <col min="4073" max="4073" width="9.140625" style="5"/>
    <col min="4074" max="4074" width="0.7109375" style="5" customWidth="1"/>
    <col min="4075" max="4075" width="11" style="5" customWidth="1"/>
    <col min="4076" max="4076" width="9.140625" style="5"/>
    <col min="4077" max="4077" width="0.7109375" style="5" customWidth="1"/>
    <col min="4078" max="4078" width="16.42578125" style="5" customWidth="1"/>
    <col min="4079" max="4079" width="9.140625" style="5"/>
    <col min="4080" max="4080" width="0.7109375" style="5" customWidth="1"/>
    <col min="4081" max="4081" width="11" style="5" customWidth="1"/>
    <col min="4082" max="4082" width="9.140625" style="5"/>
    <col min="4083" max="4083" width="0.7109375" style="5" customWidth="1"/>
    <col min="4084" max="4084" width="11" style="5" customWidth="1"/>
    <col min="4085" max="4085" width="9.140625" style="5"/>
    <col min="4086" max="4086" width="0.7109375" style="5" customWidth="1"/>
    <col min="4087" max="4087" width="11" style="5" customWidth="1"/>
    <col min="4088" max="4088" width="9.140625" style="5"/>
    <col min="4089" max="4089" width="0.7109375" style="5" customWidth="1"/>
    <col min="4090" max="4090" width="11" style="5" customWidth="1"/>
    <col min="4091" max="4091" width="9.140625" style="5"/>
    <col min="4092" max="4092" width="0.7109375" style="5" customWidth="1"/>
    <col min="4093" max="4093" width="11" style="5" customWidth="1"/>
    <col min="4094" max="4323" width="9.140625" style="5"/>
    <col min="4324" max="4324" width="21.140625" style="5" customWidth="1"/>
    <col min="4325" max="4325" width="11" style="5" customWidth="1"/>
    <col min="4326" max="4326" width="9" style="5" customWidth="1"/>
    <col min="4327" max="4327" width="0.7109375" style="5" customWidth="1"/>
    <col min="4328" max="4328" width="11" style="5" customWidth="1"/>
    <col min="4329" max="4329" width="9.140625" style="5"/>
    <col min="4330" max="4330" width="0.7109375" style="5" customWidth="1"/>
    <col min="4331" max="4331" width="11" style="5" customWidth="1"/>
    <col min="4332" max="4332" width="9.140625" style="5"/>
    <col min="4333" max="4333" width="0.7109375" style="5" customWidth="1"/>
    <col min="4334" max="4334" width="16.42578125" style="5" customWidth="1"/>
    <col min="4335" max="4335" width="9.140625" style="5"/>
    <col min="4336" max="4336" width="0.7109375" style="5" customWidth="1"/>
    <col min="4337" max="4337" width="11" style="5" customWidth="1"/>
    <col min="4338" max="4338" width="9.140625" style="5"/>
    <col min="4339" max="4339" width="0.7109375" style="5" customWidth="1"/>
    <col min="4340" max="4340" width="11" style="5" customWidth="1"/>
    <col min="4341" max="4341" width="9.140625" style="5"/>
    <col min="4342" max="4342" width="0.7109375" style="5" customWidth="1"/>
    <col min="4343" max="4343" width="11" style="5" customWidth="1"/>
    <col min="4344" max="4344" width="9.140625" style="5"/>
    <col min="4345" max="4345" width="0.7109375" style="5" customWidth="1"/>
    <col min="4346" max="4346" width="11" style="5" customWidth="1"/>
    <col min="4347" max="4347" width="9.140625" style="5"/>
    <col min="4348" max="4348" width="0.7109375" style="5" customWidth="1"/>
    <col min="4349" max="4349" width="11" style="5" customWidth="1"/>
    <col min="4350" max="4579" width="9.140625" style="5"/>
    <col min="4580" max="4580" width="21.140625" style="5" customWidth="1"/>
    <col min="4581" max="4581" width="11" style="5" customWidth="1"/>
    <col min="4582" max="4582" width="9" style="5" customWidth="1"/>
    <col min="4583" max="4583" width="0.7109375" style="5" customWidth="1"/>
    <col min="4584" max="4584" width="11" style="5" customWidth="1"/>
    <col min="4585" max="4585" width="9.140625" style="5"/>
    <col min="4586" max="4586" width="0.7109375" style="5" customWidth="1"/>
    <col min="4587" max="4587" width="11" style="5" customWidth="1"/>
    <col min="4588" max="4588" width="9.140625" style="5"/>
    <col min="4589" max="4589" width="0.7109375" style="5" customWidth="1"/>
    <col min="4590" max="4590" width="16.42578125" style="5" customWidth="1"/>
    <col min="4591" max="4591" width="9.140625" style="5"/>
    <col min="4592" max="4592" width="0.7109375" style="5" customWidth="1"/>
    <col min="4593" max="4593" width="11" style="5" customWidth="1"/>
    <col min="4594" max="4594" width="9.140625" style="5"/>
    <col min="4595" max="4595" width="0.7109375" style="5" customWidth="1"/>
    <col min="4596" max="4596" width="11" style="5" customWidth="1"/>
    <col min="4597" max="4597" width="9.140625" style="5"/>
    <col min="4598" max="4598" width="0.7109375" style="5" customWidth="1"/>
    <col min="4599" max="4599" width="11" style="5" customWidth="1"/>
    <col min="4600" max="4600" width="9.140625" style="5"/>
    <col min="4601" max="4601" width="0.7109375" style="5" customWidth="1"/>
    <col min="4602" max="4602" width="11" style="5" customWidth="1"/>
    <col min="4603" max="4603" width="9.140625" style="5"/>
    <col min="4604" max="4604" width="0.7109375" style="5" customWidth="1"/>
    <col min="4605" max="4605" width="11" style="5" customWidth="1"/>
    <col min="4606" max="4835" width="9.140625" style="5"/>
    <col min="4836" max="4836" width="21.140625" style="5" customWidth="1"/>
    <col min="4837" max="4837" width="11" style="5" customWidth="1"/>
    <col min="4838" max="4838" width="9" style="5" customWidth="1"/>
    <col min="4839" max="4839" width="0.7109375" style="5" customWidth="1"/>
    <col min="4840" max="4840" width="11" style="5" customWidth="1"/>
    <col min="4841" max="4841" width="9.140625" style="5"/>
    <col min="4842" max="4842" width="0.7109375" style="5" customWidth="1"/>
    <col min="4843" max="4843" width="11" style="5" customWidth="1"/>
    <col min="4844" max="4844" width="9.140625" style="5"/>
    <col min="4845" max="4845" width="0.7109375" style="5" customWidth="1"/>
    <col min="4846" max="4846" width="16.42578125" style="5" customWidth="1"/>
    <col min="4847" max="4847" width="9.140625" style="5"/>
    <col min="4848" max="4848" width="0.7109375" style="5" customWidth="1"/>
    <col min="4849" max="4849" width="11" style="5" customWidth="1"/>
    <col min="4850" max="4850" width="9.140625" style="5"/>
    <col min="4851" max="4851" width="0.7109375" style="5" customWidth="1"/>
    <col min="4852" max="4852" width="11" style="5" customWidth="1"/>
    <col min="4853" max="4853" width="9.140625" style="5"/>
    <col min="4854" max="4854" width="0.7109375" style="5" customWidth="1"/>
    <col min="4855" max="4855" width="11" style="5" customWidth="1"/>
    <col min="4856" max="4856" width="9.140625" style="5"/>
    <col min="4857" max="4857" width="0.7109375" style="5" customWidth="1"/>
    <col min="4858" max="4858" width="11" style="5" customWidth="1"/>
    <col min="4859" max="4859" width="9.140625" style="5"/>
    <col min="4860" max="4860" width="0.7109375" style="5" customWidth="1"/>
    <col min="4861" max="4861" width="11" style="5" customWidth="1"/>
    <col min="4862" max="5091" width="9.140625" style="5"/>
    <col min="5092" max="5092" width="21.140625" style="5" customWidth="1"/>
    <col min="5093" max="5093" width="11" style="5" customWidth="1"/>
    <col min="5094" max="5094" width="9" style="5" customWidth="1"/>
    <col min="5095" max="5095" width="0.7109375" style="5" customWidth="1"/>
    <col min="5096" max="5096" width="11" style="5" customWidth="1"/>
    <col min="5097" max="5097" width="9.140625" style="5"/>
    <col min="5098" max="5098" width="0.7109375" style="5" customWidth="1"/>
    <col min="5099" max="5099" width="11" style="5" customWidth="1"/>
    <col min="5100" max="5100" width="9.140625" style="5"/>
    <col min="5101" max="5101" width="0.7109375" style="5" customWidth="1"/>
    <col min="5102" max="5102" width="16.42578125" style="5" customWidth="1"/>
    <col min="5103" max="5103" width="9.140625" style="5"/>
    <col min="5104" max="5104" width="0.7109375" style="5" customWidth="1"/>
    <col min="5105" max="5105" width="11" style="5" customWidth="1"/>
    <col min="5106" max="5106" width="9.140625" style="5"/>
    <col min="5107" max="5107" width="0.7109375" style="5" customWidth="1"/>
    <col min="5108" max="5108" width="11" style="5" customWidth="1"/>
    <col min="5109" max="5109" width="9.140625" style="5"/>
    <col min="5110" max="5110" width="0.7109375" style="5" customWidth="1"/>
    <col min="5111" max="5111" width="11" style="5" customWidth="1"/>
    <col min="5112" max="5112" width="9.140625" style="5"/>
    <col min="5113" max="5113" width="0.7109375" style="5" customWidth="1"/>
    <col min="5114" max="5114" width="11" style="5" customWidth="1"/>
    <col min="5115" max="5115" width="9.140625" style="5"/>
    <col min="5116" max="5116" width="0.7109375" style="5" customWidth="1"/>
    <col min="5117" max="5117" width="11" style="5" customWidth="1"/>
    <col min="5118" max="5347" width="9.140625" style="5"/>
    <col min="5348" max="5348" width="21.140625" style="5" customWidth="1"/>
    <col min="5349" max="5349" width="11" style="5" customWidth="1"/>
    <col min="5350" max="5350" width="9" style="5" customWidth="1"/>
    <col min="5351" max="5351" width="0.7109375" style="5" customWidth="1"/>
    <col min="5352" max="5352" width="11" style="5" customWidth="1"/>
    <col min="5353" max="5353" width="9.140625" style="5"/>
    <col min="5354" max="5354" width="0.7109375" style="5" customWidth="1"/>
    <col min="5355" max="5355" width="11" style="5" customWidth="1"/>
    <col min="5356" max="5356" width="9.140625" style="5"/>
    <col min="5357" max="5357" width="0.7109375" style="5" customWidth="1"/>
    <col min="5358" max="5358" width="16.42578125" style="5" customWidth="1"/>
    <col min="5359" max="5359" width="9.140625" style="5"/>
    <col min="5360" max="5360" width="0.7109375" style="5" customWidth="1"/>
    <col min="5361" max="5361" width="11" style="5" customWidth="1"/>
    <col min="5362" max="5362" width="9.140625" style="5"/>
    <col min="5363" max="5363" width="0.7109375" style="5" customWidth="1"/>
    <col min="5364" max="5364" width="11" style="5" customWidth="1"/>
    <col min="5365" max="5365" width="9.140625" style="5"/>
    <col min="5366" max="5366" width="0.7109375" style="5" customWidth="1"/>
    <col min="5367" max="5367" width="11" style="5" customWidth="1"/>
    <col min="5368" max="5368" width="9.140625" style="5"/>
    <col min="5369" max="5369" width="0.7109375" style="5" customWidth="1"/>
    <col min="5370" max="5370" width="11" style="5" customWidth="1"/>
    <col min="5371" max="5371" width="9.140625" style="5"/>
    <col min="5372" max="5372" width="0.7109375" style="5" customWidth="1"/>
    <col min="5373" max="5373" width="11" style="5" customWidth="1"/>
    <col min="5374" max="5603" width="9.140625" style="5"/>
    <col min="5604" max="5604" width="21.140625" style="5" customWidth="1"/>
    <col min="5605" max="5605" width="11" style="5" customWidth="1"/>
    <col min="5606" max="5606" width="9" style="5" customWidth="1"/>
    <col min="5607" max="5607" width="0.7109375" style="5" customWidth="1"/>
    <col min="5608" max="5608" width="11" style="5" customWidth="1"/>
    <col min="5609" max="5609" width="9.140625" style="5"/>
    <col min="5610" max="5610" width="0.7109375" style="5" customWidth="1"/>
    <col min="5611" max="5611" width="11" style="5" customWidth="1"/>
    <col min="5612" max="5612" width="9.140625" style="5"/>
    <col min="5613" max="5613" width="0.7109375" style="5" customWidth="1"/>
    <col min="5614" max="5614" width="16.42578125" style="5" customWidth="1"/>
    <col min="5615" max="5615" width="9.140625" style="5"/>
    <col min="5616" max="5616" width="0.7109375" style="5" customWidth="1"/>
    <col min="5617" max="5617" width="11" style="5" customWidth="1"/>
    <col min="5618" max="5618" width="9.140625" style="5"/>
    <col min="5619" max="5619" width="0.7109375" style="5" customWidth="1"/>
    <col min="5620" max="5620" width="11" style="5" customWidth="1"/>
    <col min="5621" max="5621" width="9.140625" style="5"/>
    <col min="5622" max="5622" width="0.7109375" style="5" customWidth="1"/>
    <col min="5623" max="5623" width="11" style="5" customWidth="1"/>
    <col min="5624" max="5624" width="9.140625" style="5"/>
    <col min="5625" max="5625" width="0.7109375" style="5" customWidth="1"/>
    <col min="5626" max="5626" width="11" style="5" customWidth="1"/>
    <col min="5627" max="5627" width="9.140625" style="5"/>
    <col min="5628" max="5628" width="0.7109375" style="5" customWidth="1"/>
    <col min="5629" max="5629" width="11" style="5" customWidth="1"/>
    <col min="5630" max="5859" width="9.140625" style="5"/>
    <col min="5860" max="5860" width="21.140625" style="5" customWidth="1"/>
    <col min="5861" max="5861" width="11" style="5" customWidth="1"/>
    <col min="5862" max="5862" width="9" style="5" customWidth="1"/>
    <col min="5863" max="5863" width="0.7109375" style="5" customWidth="1"/>
    <col min="5864" max="5864" width="11" style="5" customWidth="1"/>
    <col min="5865" max="5865" width="9.140625" style="5"/>
    <col min="5866" max="5866" width="0.7109375" style="5" customWidth="1"/>
    <col min="5867" max="5867" width="11" style="5" customWidth="1"/>
    <col min="5868" max="5868" width="9.140625" style="5"/>
    <col min="5869" max="5869" width="0.7109375" style="5" customWidth="1"/>
    <col min="5870" max="5870" width="16.42578125" style="5" customWidth="1"/>
    <col min="5871" max="5871" width="9.140625" style="5"/>
    <col min="5872" max="5872" width="0.7109375" style="5" customWidth="1"/>
    <col min="5873" max="5873" width="11" style="5" customWidth="1"/>
    <col min="5874" max="5874" width="9.140625" style="5"/>
    <col min="5875" max="5875" width="0.7109375" style="5" customWidth="1"/>
    <col min="5876" max="5876" width="11" style="5" customWidth="1"/>
    <col min="5877" max="5877" width="9.140625" style="5"/>
    <col min="5878" max="5878" width="0.7109375" style="5" customWidth="1"/>
    <col min="5879" max="5879" width="11" style="5" customWidth="1"/>
    <col min="5880" max="5880" width="9.140625" style="5"/>
    <col min="5881" max="5881" width="0.7109375" style="5" customWidth="1"/>
    <col min="5882" max="5882" width="11" style="5" customWidth="1"/>
    <col min="5883" max="5883" width="9.140625" style="5"/>
    <col min="5884" max="5884" width="0.7109375" style="5" customWidth="1"/>
    <col min="5885" max="5885" width="11" style="5" customWidth="1"/>
    <col min="5886" max="6115" width="9.140625" style="5"/>
    <col min="6116" max="6116" width="21.140625" style="5" customWidth="1"/>
    <col min="6117" max="6117" width="11" style="5" customWidth="1"/>
    <col min="6118" max="6118" width="9" style="5" customWidth="1"/>
    <col min="6119" max="6119" width="0.7109375" style="5" customWidth="1"/>
    <col min="6120" max="6120" width="11" style="5" customWidth="1"/>
    <col min="6121" max="6121" width="9.140625" style="5"/>
    <col min="6122" max="6122" width="0.7109375" style="5" customWidth="1"/>
    <col min="6123" max="6123" width="11" style="5" customWidth="1"/>
    <col min="6124" max="6124" width="9.140625" style="5"/>
    <col min="6125" max="6125" width="0.7109375" style="5" customWidth="1"/>
    <col min="6126" max="6126" width="16.42578125" style="5" customWidth="1"/>
    <col min="6127" max="6127" width="9.140625" style="5"/>
    <col min="6128" max="6128" width="0.7109375" style="5" customWidth="1"/>
    <col min="6129" max="6129" width="11" style="5" customWidth="1"/>
    <col min="6130" max="6130" width="9.140625" style="5"/>
    <col min="6131" max="6131" width="0.7109375" style="5" customWidth="1"/>
    <col min="6132" max="6132" width="11" style="5" customWidth="1"/>
    <col min="6133" max="6133" width="9.140625" style="5"/>
    <col min="6134" max="6134" width="0.7109375" style="5" customWidth="1"/>
    <col min="6135" max="6135" width="11" style="5" customWidth="1"/>
    <col min="6136" max="6136" width="9.140625" style="5"/>
    <col min="6137" max="6137" width="0.7109375" style="5" customWidth="1"/>
    <col min="6138" max="6138" width="11" style="5" customWidth="1"/>
    <col min="6139" max="6139" width="9.140625" style="5"/>
    <col min="6140" max="6140" width="0.7109375" style="5" customWidth="1"/>
    <col min="6141" max="6141" width="11" style="5" customWidth="1"/>
    <col min="6142" max="6371" width="9.140625" style="5"/>
    <col min="6372" max="6372" width="21.140625" style="5" customWidth="1"/>
    <col min="6373" max="6373" width="11" style="5" customWidth="1"/>
    <col min="6374" max="6374" width="9" style="5" customWidth="1"/>
    <col min="6375" max="6375" width="0.7109375" style="5" customWidth="1"/>
    <col min="6376" max="6376" width="11" style="5" customWidth="1"/>
    <col min="6377" max="6377" width="9.140625" style="5"/>
    <col min="6378" max="6378" width="0.7109375" style="5" customWidth="1"/>
    <col min="6379" max="6379" width="11" style="5" customWidth="1"/>
    <col min="6380" max="6380" width="9.140625" style="5"/>
    <col min="6381" max="6381" width="0.7109375" style="5" customWidth="1"/>
    <col min="6382" max="6382" width="16.42578125" style="5" customWidth="1"/>
    <col min="6383" max="6383" width="9.140625" style="5"/>
    <col min="6384" max="6384" width="0.7109375" style="5" customWidth="1"/>
    <col min="6385" max="6385" width="11" style="5" customWidth="1"/>
    <col min="6386" max="6386" width="9.140625" style="5"/>
    <col min="6387" max="6387" width="0.7109375" style="5" customWidth="1"/>
    <col min="6388" max="6388" width="11" style="5" customWidth="1"/>
    <col min="6389" max="6389" width="9.140625" style="5"/>
    <col min="6390" max="6390" width="0.7109375" style="5" customWidth="1"/>
    <col min="6391" max="6391" width="11" style="5" customWidth="1"/>
    <col min="6392" max="6392" width="9.140625" style="5"/>
    <col min="6393" max="6393" width="0.7109375" style="5" customWidth="1"/>
    <col min="6394" max="6394" width="11" style="5" customWidth="1"/>
    <col min="6395" max="6395" width="9.140625" style="5"/>
    <col min="6396" max="6396" width="0.7109375" style="5" customWidth="1"/>
    <col min="6397" max="6397" width="11" style="5" customWidth="1"/>
    <col min="6398" max="6627" width="9.140625" style="5"/>
    <col min="6628" max="6628" width="21.140625" style="5" customWidth="1"/>
    <col min="6629" max="6629" width="11" style="5" customWidth="1"/>
    <col min="6630" max="6630" width="9" style="5" customWidth="1"/>
    <col min="6631" max="6631" width="0.7109375" style="5" customWidth="1"/>
    <col min="6632" max="6632" width="11" style="5" customWidth="1"/>
    <col min="6633" max="6633" width="9.140625" style="5"/>
    <col min="6634" max="6634" width="0.7109375" style="5" customWidth="1"/>
    <col min="6635" max="6635" width="11" style="5" customWidth="1"/>
    <col min="6636" max="6636" width="9.140625" style="5"/>
    <col min="6637" max="6637" width="0.7109375" style="5" customWidth="1"/>
    <col min="6638" max="6638" width="16.42578125" style="5" customWidth="1"/>
    <col min="6639" max="6639" width="9.140625" style="5"/>
    <col min="6640" max="6640" width="0.7109375" style="5" customWidth="1"/>
    <col min="6641" max="6641" width="11" style="5" customWidth="1"/>
    <col min="6642" max="6642" width="9.140625" style="5"/>
    <col min="6643" max="6643" width="0.7109375" style="5" customWidth="1"/>
    <col min="6644" max="6644" width="11" style="5" customWidth="1"/>
    <col min="6645" max="6645" width="9.140625" style="5"/>
    <col min="6646" max="6646" width="0.7109375" style="5" customWidth="1"/>
    <col min="6647" max="6647" width="11" style="5" customWidth="1"/>
    <col min="6648" max="6648" width="9.140625" style="5"/>
    <col min="6649" max="6649" width="0.7109375" style="5" customWidth="1"/>
    <col min="6650" max="6650" width="11" style="5" customWidth="1"/>
    <col min="6651" max="6651" width="9.140625" style="5"/>
    <col min="6652" max="6652" width="0.7109375" style="5" customWidth="1"/>
    <col min="6653" max="6653" width="11" style="5" customWidth="1"/>
    <col min="6654" max="6883" width="9.140625" style="5"/>
    <col min="6884" max="6884" width="21.140625" style="5" customWidth="1"/>
    <col min="6885" max="6885" width="11" style="5" customWidth="1"/>
    <col min="6886" max="6886" width="9" style="5" customWidth="1"/>
    <col min="6887" max="6887" width="0.7109375" style="5" customWidth="1"/>
    <col min="6888" max="6888" width="11" style="5" customWidth="1"/>
    <col min="6889" max="6889" width="9.140625" style="5"/>
    <col min="6890" max="6890" width="0.7109375" style="5" customWidth="1"/>
    <col min="6891" max="6891" width="11" style="5" customWidth="1"/>
    <col min="6892" max="6892" width="9.140625" style="5"/>
    <col min="6893" max="6893" width="0.7109375" style="5" customWidth="1"/>
    <col min="6894" max="6894" width="16.42578125" style="5" customWidth="1"/>
    <col min="6895" max="6895" width="9.140625" style="5"/>
    <col min="6896" max="6896" width="0.7109375" style="5" customWidth="1"/>
    <col min="6897" max="6897" width="11" style="5" customWidth="1"/>
    <col min="6898" max="6898" width="9.140625" style="5"/>
    <col min="6899" max="6899" width="0.7109375" style="5" customWidth="1"/>
    <col min="6900" max="6900" width="11" style="5" customWidth="1"/>
    <col min="6901" max="6901" width="9.140625" style="5"/>
    <col min="6902" max="6902" width="0.7109375" style="5" customWidth="1"/>
    <col min="6903" max="6903" width="11" style="5" customWidth="1"/>
    <col min="6904" max="6904" width="9.140625" style="5"/>
    <col min="6905" max="6905" width="0.7109375" style="5" customWidth="1"/>
    <col min="6906" max="6906" width="11" style="5" customWidth="1"/>
    <col min="6907" max="6907" width="9.140625" style="5"/>
    <col min="6908" max="6908" width="0.7109375" style="5" customWidth="1"/>
    <col min="6909" max="6909" width="11" style="5" customWidth="1"/>
    <col min="6910" max="7139" width="9.140625" style="5"/>
    <col min="7140" max="7140" width="21.140625" style="5" customWidth="1"/>
    <col min="7141" max="7141" width="11" style="5" customWidth="1"/>
    <col min="7142" max="7142" width="9" style="5" customWidth="1"/>
    <col min="7143" max="7143" width="0.7109375" style="5" customWidth="1"/>
    <col min="7144" max="7144" width="11" style="5" customWidth="1"/>
    <col min="7145" max="7145" width="9.140625" style="5"/>
    <col min="7146" max="7146" width="0.7109375" style="5" customWidth="1"/>
    <col min="7147" max="7147" width="11" style="5" customWidth="1"/>
    <col min="7148" max="7148" width="9.140625" style="5"/>
    <col min="7149" max="7149" width="0.7109375" style="5" customWidth="1"/>
    <col min="7150" max="7150" width="16.42578125" style="5" customWidth="1"/>
    <col min="7151" max="7151" width="9.140625" style="5"/>
    <col min="7152" max="7152" width="0.7109375" style="5" customWidth="1"/>
    <col min="7153" max="7153" width="11" style="5" customWidth="1"/>
    <col min="7154" max="7154" width="9.140625" style="5"/>
    <col min="7155" max="7155" width="0.7109375" style="5" customWidth="1"/>
    <col min="7156" max="7156" width="11" style="5" customWidth="1"/>
    <col min="7157" max="7157" width="9.140625" style="5"/>
    <col min="7158" max="7158" width="0.7109375" style="5" customWidth="1"/>
    <col min="7159" max="7159" width="11" style="5" customWidth="1"/>
    <col min="7160" max="7160" width="9.140625" style="5"/>
    <col min="7161" max="7161" width="0.7109375" style="5" customWidth="1"/>
    <col min="7162" max="7162" width="11" style="5" customWidth="1"/>
    <col min="7163" max="7163" width="9.140625" style="5"/>
    <col min="7164" max="7164" width="0.7109375" style="5" customWidth="1"/>
    <col min="7165" max="7165" width="11" style="5" customWidth="1"/>
    <col min="7166" max="7395" width="9.140625" style="5"/>
    <col min="7396" max="7396" width="21.140625" style="5" customWidth="1"/>
    <col min="7397" max="7397" width="11" style="5" customWidth="1"/>
    <col min="7398" max="7398" width="9" style="5" customWidth="1"/>
    <col min="7399" max="7399" width="0.7109375" style="5" customWidth="1"/>
    <col min="7400" max="7400" width="11" style="5" customWidth="1"/>
    <col min="7401" max="7401" width="9.140625" style="5"/>
    <col min="7402" max="7402" width="0.7109375" style="5" customWidth="1"/>
    <col min="7403" max="7403" width="11" style="5" customWidth="1"/>
    <col min="7404" max="7404" width="9.140625" style="5"/>
    <col min="7405" max="7405" width="0.7109375" style="5" customWidth="1"/>
    <col min="7406" max="7406" width="16.42578125" style="5" customWidth="1"/>
    <col min="7407" max="7407" width="9.140625" style="5"/>
    <col min="7408" max="7408" width="0.7109375" style="5" customWidth="1"/>
    <col min="7409" max="7409" width="11" style="5" customWidth="1"/>
    <col min="7410" max="7410" width="9.140625" style="5"/>
    <col min="7411" max="7411" width="0.7109375" style="5" customWidth="1"/>
    <col min="7412" max="7412" width="11" style="5" customWidth="1"/>
    <col min="7413" max="7413" width="9.140625" style="5"/>
    <col min="7414" max="7414" width="0.7109375" style="5" customWidth="1"/>
    <col min="7415" max="7415" width="11" style="5" customWidth="1"/>
    <col min="7416" max="7416" width="9.140625" style="5"/>
    <col min="7417" max="7417" width="0.7109375" style="5" customWidth="1"/>
    <col min="7418" max="7418" width="11" style="5" customWidth="1"/>
    <col min="7419" max="7419" width="9.140625" style="5"/>
    <col min="7420" max="7420" width="0.7109375" style="5" customWidth="1"/>
    <col min="7421" max="7421" width="11" style="5" customWidth="1"/>
    <col min="7422" max="7651" width="9.140625" style="5"/>
    <col min="7652" max="7652" width="21.140625" style="5" customWidth="1"/>
    <col min="7653" max="7653" width="11" style="5" customWidth="1"/>
    <col min="7654" max="7654" width="9" style="5" customWidth="1"/>
    <col min="7655" max="7655" width="0.7109375" style="5" customWidth="1"/>
    <col min="7656" max="7656" width="11" style="5" customWidth="1"/>
    <col min="7657" max="7657" width="9.140625" style="5"/>
    <col min="7658" max="7658" width="0.7109375" style="5" customWidth="1"/>
    <col min="7659" max="7659" width="11" style="5" customWidth="1"/>
    <col min="7660" max="7660" width="9.140625" style="5"/>
    <col min="7661" max="7661" width="0.7109375" style="5" customWidth="1"/>
    <col min="7662" max="7662" width="16.42578125" style="5" customWidth="1"/>
    <col min="7663" max="7663" width="9.140625" style="5"/>
    <col min="7664" max="7664" width="0.7109375" style="5" customWidth="1"/>
    <col min="7665" max="7665" width="11" style="5" customWidth="1"/>
    <col min="7666" max="7666" width="9.140625" style="5"/>
    <col min="7667" max="7667" width="0.7109375" style="5" customWidth="1"/>
    <col min="7668" max="7668" width="11" style="5" customWidth="1"/>
    <col min="7669" max="7669" width="9.140625" style="5"/>
    <col min="7670" max="7670" width="0.7109375" style="5" customWidth="1"/>
    <col min="7671" max="7671" width="11" style="5" customWidth="1"/>
    <col min="7672" max="7672" width="9.140625" style="5"/>
    <col min="7673" max="7673" width="0.7109375" style="5" customWidth="1"/>
    <col min="7674" max="7674" width="11" style="5" customWidth="1"/>
    <col min="7675" max="7675" width="9.140625" style="5"/>
    <col min="7676" max="7676" width="0.7109375" style="5" customWidth="1"/>
    <col min="7677" max="7677" width="11" style="5" customWidth="1"/>
    <col min="7678" max="7907" width="9.140625" style="5"/>
    <col min="7908" max="7908" width="21.140625" style="5" customWidth="1"/>
    <col min="7909" max="7909" width="11" style="5" customWidth="1"/>
    <col min="7910" max="7910" width="9" style="5" customWidth="1"/>
    <col min="7911" max="7911" width="0.7109375" style="5" customWidth="1"/>
    <col min="7912" max="7912" width="11" style="5" customWidth="1"/>
    <col min="7913" max="7913" width="9.140625" style="5"/>
    <col min="7914" max="7914" width="0.7109375" style="5" customWidth="1"/>
    <col min="7915" max="7915" width="11" style="5" customWidth="1"/>
    <col min="7916" max="7916" width="9.140625" style="5"/>
    <col min="7917" max="7917" width="0.7109375" style="5" customWidth="1"/>
    <col min="7918" max="7918" width="16.42578125" style="5" customWidth="1"/>
    <col min="7919" max="7919" width="9.140625" style="5"/>
    <col min="7920" max="7920" width="0.7109375" style="5" customWidth="1"/>
    <col min="7921" max="7921" width="11" style="5" customWidth="1"/>
    <col min="7922" max="7922" width="9.140625" style="5"/>
    <col min="7923" max="7923" width="0.7109375" style="5" customWidth="1"/>
    <col min="7924" max="7924" width="11" style="5" customWidth="1"/>
    <col min="7925" max="7925" width="9.140625" style="5"/>
    <col min="7926" max="7926" width="0.7109375" style="5" customWidth="1"/>
    <col min="7927" max="7927" width="11" style="5" customWidth="1"/>
    <col min="7928" max="7928" width="9.140625" style="5"/>
    <col min="7929" max="7929" width="0.7109375" style="5" customWidth="1"/>
    <col min="7930" max="7930" width="11" style="5" customWidth="1"/>
    <col min="7931" max="7931" width="9.140625" style="5"/>
    <col min="7932" max="7932" width="0.7109375" style="5" customWidth="1"/>
    <col min="7933" max="7933" width="11" style="5" customWidth="1"/>
    <col min="7934" max="8163" width="9.140625" style="5"/>
    <col min="8164" max="8164" width="21.140625" style="5" customWidth="1"/>
    <col min="8165" max="8165" width="11" style="5" customWidth="1"/>
    <col min="8166" max="8166" width="9" style="5" customWidth="1"/>
    <col min="8167" max="8167" width="0.7109375" style="5" customWidth="1"/>
    <col min="8168" max="8168" width="11" style="5" customWidth="1"/>
    <col min="8169" max="8169" width="9.140625" style="5"/>
    <col min="8170" max="8170" width="0.7109375" style="5" customWidth="1"/>
    <col min="8171" max="8171" width="11" style="5" customWidth="1"/>
    <col min="8172" max="8172" width="9.140625" style="5"/>
    <col min="8173" max="8173" width="0.7109375" style="5" customWidth="1"/>
    <col min="8174" max="8174" width="16.42578125" style="5" customWidth="1"/>
    <col min="8175" max="8175" width="9.140625" style="5"/>
    <col min="8176" max="8176" width="0.7109375" style="5" customWidth="1"/>
    <col min="8177" max="8177" width="11" style="5" customWidth="1"/>
    <col min="8178" max="8178" width="9.140625" style="5"/>
    <col min="8179" max="8179" width="0.7109375" style="5" customWidth="1"/>
    <col min="8180" max="8180" width="11" style="5" customWidth="1"/>
    <col min="8181" max="8181" width="9.140625" style="5"/>
    <col min="8182" max="8182" width="0.7109375" style="5" customWidth="1"/>
    <col min="8183" max="8183" width="11" style="5" customWidth="1"/>
    <col min="8184" max="8184" width="9.140625" style="5"/>
    <col min="8185" max="8185" width="0.7109375" style="5" customWidth="1"/>
    <col min="8186" max="8186" width="11" style="5" customWidth="1"/>
    <col min="8187" max="8187" width="9.140625" style="5"/>
    <col min="8188" max="8188" width="0.7109375" style="5" customWidth="1"/>
    <col min="8189" max="8189" width="11" style="5" customWidth="1"/>
    <col min="8190" max="8419" width="9.140625" style="5"/>
    <col min="8420" max="8420" width="21.140625" style="5" customWidth="1"/>
    <col min="8421" max="8421" width="11" style="5" customWidth="1"/>
    <col min="8422" max="8422" width="9" style="5" customWidth="1"/>
    <col min="8423" max="8423" width="0.7109375" style="5" customWidth="1"/>
    <col min="8424" max="8424" width="11" style="5" customWidth="1"/>
    <col min="8425" max="8425" width="9.140625" style="5"/>
    <col min="8426" max="8426" width="0.7109375" style="5" customWidth="1"/>
    <col min="8427" max="8427" width="11" style="5" customWidth="1"/>
    <col min="8428" max="8428" width="9.140625" style="5"/>
    <col min="8429" max="8429" width="0.7109375" style="5" customWidth="1"/>
    <col min="8430" max="8430" width="16.42578125" style="5" customWidth="1"/>
    <col min="8431" max="8431" width="9.140625" style="5"/>
    <col min="8432" max="8432" width="0.7109375" style="5" customWidth="1"/>
    <col min="8433" max="8433" width="11" style="5" customWidth="1"/>
    <col min="8434" max="8434" width="9.140625" style="5"/>
    <col min="8435" max="8435" width="0.7109375" style="5" customWidth="1"/>
    <col min="8436" max="8436" width="11" style="5" customWidth="1"/>
    <col min="8437" max="8437" width="9.140625" style="5"/>
    <col min="8438" max="8438" width="0.7109375" style="5" customWidth="1"/>
    <col min="8439" max="8439" width="11" style="5" customWidth="1"/>
    <col min="8440" max="8440" width="9.140625" style="5"/>
    <col min="8441" max="8441" width="0.7109375" style="5" customWidth="1"/>
    <col min="8442" max="8442" width="11" style="5" customWidth="1"/>
    <col min="8443" max="8443" width="9.140625" style="5"/>
    <col min="8444" max="8444" width="0.7109375" style="5" customWidth="1"/>
    <col min="8445" max="8445" width="11" style="5" customWidth="1"/>
    <col min="8446" max="8675" width="9.140625" style="5"/>
    <col min="8676" max="8676" width="21.140625" style="5" customWidth="1"/>
    <col min="8677" max="8677" width="11" style="5" customWidth="1"/>
    <col min="8678" max="8678" width="9" style="5" customWidth="1"/>
    <col min="8679" max="8679" width="0.7109375" style="5" customWidth="1"/>
    <col min="8680" max="8680" width="11" style="5" customWidth="1"/>
    <col min="8681" max="8681" width="9.140625" style="5"/>
    <col min="8682" max="8682" width="0.7109375" style="5" customWidth="1"/>
    <col min="8683" max="8683" width="11" style="5" customWidth="1"/>
    <col min="8684" max="8684" width="9.140625" style="5"/>
    <col min="8685" max="8685" width="0.7109375" style="5" customWidth="1"/>
    <col min="8686" max="8686" width="16.42578125" style="5" customWidth="1"/>
    <col min="8687" max="8687" width="9.140625" style="5"/>
    <col min="8688" max="8688" width="0.7109375" style="5" customWidth="1"/>
    <col min="8689" max="8689" width="11" style="5" customWidth="1"/>
    <col min="8690" max="8690" width="9.140625" style="5"/>
    <col min="8691" max="8691" width="0.7109375" style="5" customWidth="1"/>
    <col min="8692" max="8692" width="11" style="5" customWidth="1"/>
    <col min="8693" max="8693" width="9.140625" style="5"/>
    <col min="8694" max="8694" width="0.7109375" style="5" customWidth="1"/>
    <col min="8695" max="8695" width="11" style="5" customWidth="1"/>
    <col min="8696" max="8696" width="9.140625" style="5"/>
    <col min="8697" max="8697" width="0.7109375" style="5" customWidth="1"/>
    <col min="8698" max="8698" width="11" style="5" customWidth="1"/>
    <col min="8699" max="8699" width="9.140625" style="5"/>
    <col min="8700" max="8700" width="0.7109375" style="5" customWidth="1"/>
    <col min="8701" max="8701" width="11" style="5" customWidth="1"/>
    <col min="8702" max="8931" width="9.140625" style="5"/>
    <col min="8932" max="8932" width="21.140625" style="5" customWidth="1"/>
    <col min="8933" max="8933" width="11" style="5" customWidth="1"/>
    <col min="8934" max="8934" width="9" style="5" customWidth="1"/>
    <col min="8935" max="8935" width="0.7109375" style="5" customWidth="1"/>
    <col min="8936" max="8936" width="11" style="5" customWidth="1"/>
    <col min="8937" max="8937" width="9.140625" style="5"/>
    <col min="8938" max="8938" width="0.7109375" style="5" customWidth="1"/>
    <col min="8939" max="8939" width="11" style="5" customWidth="1"/>
    <col min="8940" max="8940" width="9.140625" style="5"/>
    <col min="8941" max="8941" width="0.7109375" style="5" customWidth="1"/>
    <col min="8942" max="8942" width="16.42578125" style="5" customWidth="1"/>
    <col min="8943" max="8943" width="9.140625" style="5"/>
    <col min="8944" max="8944" width="0.7109375" style="5" customWidth="1"/>
    <col min="8945" max="8945" width="11" style="5" customWidth="1"/>
    <col min="8946" max="8946" width="9.140625" style="5"/>
    <col min="8947" max="8947" width="0.7109375" style="5" customWidth="1"/>
    <col min="8948" max="8948" width="11" style="5" customWidth="1"/>
    <col min="8949" max="8949" width="9.140625" style="5"/>
    <col min="8950" max="8950" width="0.7109375" style="5" customWidth="1"/>
    <col min="8951" max="8951" width="11" style="5" customWidth="1"/>
    <col min="8952" max="8952" width="9.140625" style="5"/>
    <col min="8953" max="8953" width="0.7109375" style="5" customWidth="1"/>
    <col min="8954" max="8954" width="11" style="5" customWidth="1"/>
    <col min="8955" max="8955" width="9.140625" style="5"/>
    <col min="8956" max="8956" width="0.7109375" style="5" customWidth="1"/>
    <col min="8957" max="8957" width="11" style="5" customWidth="1"/>
    <col min="8958" max="9187" width="9.140625" style="5"/>
    <col min="9188" max="9188" width="21.140625" style="5" customWidth="1"/>
    <col min="9189" max="9189" width="11" style="5" customWidth="1"/>
    <col min="9190" max="9190" width="9" style="5" customWidth="1"/>
    <col min="9191" max="9191" width="0.7109375" style="5" customWidth="1"/>
    <col min="9192" max="9192" width="11" style="5" customWidth="1"/>
    <col min="9193" max="9193" width="9.140625" style="5"/>
    <col min="9194" max="9194" width="0.7109375" style="5" customWidth="1"/>
    <col min="9195" max="9195" width="11" style="5" customWidth="1"/>
    <col min="9196" max="9196" width="9.140625" style="5"/>
    <col min="9197" max="9197" width="0.7109375" style="5" customWidth="1"/>
    <col min="9198" max="9198" width="16.42578125" style="5" customWidth="1"/>
    <col min="9199" max="9199" width="9.140625" style="5"/>
    <col min="9200" max="9200" width="0.7109375" style="5" customWidth="1"/>
    <col min="9201" max="9201" width="11" style="5" customWidth="1"/>
    <col min="9202" max="9202" width="9.140625" style="5"/>
    <col min="9203" max="9203" width="0.7109375" style="5" customWidth="1"/>
    <col min="9204" max="9204" width="11" style="5" customWidth="1"/>
    <col min="9205" max="9205" width="9.140625" style="5"/>
    <col min="9206" max="9206" width="0.7109375" style="5" customWidth="1"/>
    <col min="9207" max="9207" width="11" style="5" customWidth="1"/>
    <col min="9208" max="9208" width="9.140625" style="5"/>
    <col min="9209" max="9209" width="0.7109375" style="5" customWidth="1"/>
    <col min="9210" max="9210" width="11" style="5" customWidth="1"/>
    <col min="9211" max="9211" width="9.140625" style="5"/>
    <col min="9212" max="9212" width="0.7109375" style="5" customWidth="1"/>
    <col min="9213" max="9213" width="11" style="5" customWidth="1"/>
    <col min="9214" max="9443" width="9.140625" style="5"/>
    <col min="9444" max="9444" width="21.140625" style="5" customWidth="1"/>
    <col min="9445" max="9445" width="11" style="5" customWidth="1"/>
    <col min="9446" max="9446" width="9" style="5" customWidth="1"/>
    <col min="9447" max="9447" width="0.7109375" style="5" customWidth="1"/>
    <col min="9448" max="9448" width="11" style="5" customWidth="1"/>
    <col min="9449" max="9449" width="9.140625" style="5"/>
    <col min="9450" max="9450" width="0.7109375" style="5" customWidth="1"/>
    <col min="9451" max="9451" width="11" style="5" customWidth="1"/>
    <col min="9452" max="9452" width="9.140625" style="5"/>
    <col min="9453" max="9453" width="0.7109375" style="5" customWidth="1"/>
    <col min="9454" max="9454" width="16.42578125" style="5" customWidth="1"/>
    <col min="9455" max="9455" width="9.140625" style="5"/>
    <col min="9456" max="9456" width="0.7109375" style="5" customWidth="1"/>
    <col min="9457" max="9457" width="11" style="5" customWidth="1"/>
    <col min="9458" max="9458" width="9.140625" style="5"/>
    <col min="9459" max="9459" width="0.7109375" style="5" customWidth="1"/>
    <col min="9460" max="9460" width="11" style="5" customWidth="1"/>
    <col min="9461" max="9461" width="9.140625" style="5"/>
    <col min="9462" max="9462" width="0.7109375" style="5" customWidth="1"/>
    <col min="9463" max="9463" width="11" style="5" customWidth="1"/>
    <col min="9464" max="9464" width="9.140625" style="5"/>
    <col min="9465" max="9465" width="0.7109375" style="5" customWidth="1"/>
    <col min="9466" max="9466" width="11" style="5" customWidth="1"/>
    <col min="9467" max="9467" width="9.140625" style="5"/>
    <col min="9468" max="9468" width="0.7109375" style="5" customWidth="1"/>
    <col min="9469" max="9469" width="11" style="5" customWidth="1"/>
    <col min="9470" max="9699" width="9.140625" style="5"/>
    <col min="9700" max="9700" width="21.140625" style="5" customWidth="1"/>
    <col min="9701" max="9701" width="11" style="5" customWidth="1"/>
    <col min="9702" max="9702" width="9" style="5" customWidth="1"/>
    <col min="9703" max="9703" width="0.7109375" style="5" customWidth="1"/>
    <col min="9704" max="9704" width="11" style="5" customWidth="1"/>
    <col min="9705" max="9705" width="9.140625" style="5"/>
    <col min="9706" max="9706" width="0.7109375" style="5" customWidth="1"/>
    <col min="9707" max="9707" width="11" style="5" customWidth="1"/>
    <col min="9708" max="9708" width="9.140625" style="5"/>
    <col min="9709" max="9709" width="0.7109375" style="5" customWidth="1"/>
    <col min="9710" max="9710" width="16.42578125" style="5" customWidth="1"/>
    <col min="9711" max="9711" width="9.140625" style="5"/>
    <col min="9712" max="9712" width="0.7109375" style="5" customWidth="1"/>
    <col min="9713" max="9713" width="11" style="5" customWidth="1"/>
    <col min="9714" max="9714" width="9.140625" style="5"/>
    <col min="9715" max="9715" width="0.7109375" style="5" customWidth="1"/>
    <col min="9716" max="9716" width="11" style="5" customWidth="1"/>
    <col min="9717" max="9717" width="9.140625" style="5"/>
    <col min="9718" max="9718" width="0.7109375" style="5" customWidth="1"/>
    <col min="9719" max="9719" width="11" style="5" customWidth="1"/>
    <col min="9720" max="9720" width="9.140625" style="5"/>
    <col min="9721" max="9721" width="0.7109375" style="5" customWidth="1"/>
    <col min="9722" max="9722" width="11" style="5" customWidth="1"/>
    <col min="9723" max="9723" width="9.140625" style="5"/>
    <col min="9724" max="9724" width="0.7109375" style="5" customWidth="1"/>
    <col min="9725" max="9725" width="11" style="5" customWidth="1"/>
    <col min="9726" max="9955" width="9.140625" style="5"/>
    <col min="9956" max="9956" width="21.140625" style="5" customWidth="1"/>
    <col min="9957" max="9957" width="11" style="5" customWidth="1"/>
    <col min="9958" max="9958" width="9" style="5" customWidth="1"/>
    <col min="9959" max="9959" width="0.7109375" style="5" customWidth="1"/>
    <col min="9960" max="9960" width="11" style="5" customWidth="1"/>
    <col min="9961" max="9961" width="9.140625" style="5"/>
    <col min="9962" max="9962" width="0.7109375" style="5" customWidth="1"/>
    <col min="9963" max="9963" width="11" style="5" customWidth="1"/>
    <col min="9964" max="9964" width="9.140625" style="5"/>
    <col min="9965" max="9965" width="0.7109375" style="5" customWidth="1"/>
    <col min="9966" max="9966" width="16.42578125" style="5" customWidth="1"/>
    <col min="9967" max="9967" width="9.140625" style="5"/>
    <col min="9968" max="9968" width="0.7109375" style="5" customWidth="1"/>
    <col min="9969" max="9969" width="11" style="5" customWidth="1"/>
    <col min="9970" max="9970" width="9.140625" style="5"/>
    <col min="9971" max="9971" width="0.7109375" style="5" customWidth="1"/>
    <col min="9972" max="9972" width="11" style="5" customWidth="1"/>
    <col min="9973" max="9973" width="9.140625" style="5"/>
    <col min="9974" max="9974" width="0.7109375" style="5" customWidth="1"/>
    <col min="9975" max="9975" width="11" style="5" customWidth="1"/>
    <col min="9976" max="9976" width="9.140625" style="5"/>
    <col min="9977" max="9977" width="0.7109375" style="5" customWidth="1"/>
    <col min="9978" max="9978" width="11" style="5" customWidth="1"/>
    <col min="9979" max="9979" width="9.140625" style="5"/>
    <col min="9980" max="9980" width="0.7109375" style="5" customWidth="1"/>
    <col min="9981" max="9981" width="11" style="5" customWidth="1"/>
    <col min="9982" max="10211" width="9.140625" style="5"/>
    <col min="10212" max="10212" width="21.140625" style="5" customWidth="1"/>
    <col min="10213" max="10213" width="11" style="5" customWidth="1"/>
    <col min="10214" max="10214" width="9" style="5" customWidth="1"/>
    <col min="10215" max="10215" width="0.7109375" style="5" customWidth="1"/>
    <col min="10216" max="10216" width="11" style="5" customWidth="1"/>
    <col min="10217" max="10217" width="9.140625" style="5"/>
    <col min="10218" max="10218" width="0.7109375" style="5" customWidth="1"/>
    <col min="10219" max="10219" width="11" style="5" customWidth="1"/>
    <col min="10220" max="10220" width="9.140625" style="5"/>
    <col min="10221" max="10221" width="0.7109375" style="5" customWidth="1"/>
    <col min="10222" max="10222" width="16.42578125" style="5" customWidth="1"/>
    <col min="10223" max="10223" width="9.140625" style="5"/>
    <col min="10224" max="10224" width="0.7109375" style="5" customWidth="1"/>
    <col min="10225" max="10225" width="11" style="5" customWidth="1"/>
    <col min="10226" max="10226" width="9.140625" style="5"/>
    <col min="10227" max="10227" width="0.7109375" style="5" customWidth="1"/>
    <col min="10228" max="10228" width="11" style="5" customWidth="1"/>
    <col min="10229" max="10229" width="9.140625" style="5"/>
    <col min="10230" max="10230" width="0.7109375" style="5" customWidth="1"/>
    <col min="10231" max="10231" width="11" style="5" customWidth="1"/>
    <col min="10232" max="10232" width="9.140625" style="5"/>
    <col min="10233" max="10233" width="0.7109375" style="5" customWidth="1"/>
    <col min="10234" max="10234" width="11" style="5" customWidth="1"/>
    <col min="10235" max="10235" width="9.140625" style="5"/>
    <col min="10236" max="10236" width="0.7109375" style="5" customWidth="1"/>
    <col min="10237" max="10237" width="11" style="5" customWidth="1"/>
    <col min="10238" max="10467" width="9.140625" style="5"/>
    <col min="10468" max="10468" width="21.140625" style="5" customWidth="1"/>
    <col min="10469" max="10469" width="11" style="5" customWidth="1"/>
    <col min="10470" max="10470" width="9" style="5" customWidth="1"/>
    <col min="10471" max="10471" width="0.7109375" style="5" customWidth="1"/>
    <col min="10472" max="10472" width="11" style="5" customWidth="1"/>
    <col min="10473" max="10473" width="9.140625" style="5"/>
    <col min="10474" max="10474" width="0.7109375" style="5" customWidth="1"/>
    <col min="10475" max="10475" width="11" style="5" customWidth="1"/>
    <col min="10476" max="10476" width="9.140625" style="5"/>
    <col min="10477" max="10477" width="0.7109375" style="5" customWidth="1"/>
    <col min="10478" max="10478" width="16.42578125" style="5" customWidth="1"/>
    <col min="10479" max="10479" width="9.140625" style="5"/>
    <col min="10480" max="10480" width="0.7109375" style="5" customWidth="1"/>
    <col min="10481" max="10481" width="11" style="5" customWidth="1"/>
    <col min="10482" max="10482" width="9.140625" style="5"/>
    <col min="10483" max="10483" width="0.7109375" style="5" customWidth="1"/>
    <col min="10484" max="10484" width="11" style="5" customWidth="1"/>
    <col min="10485" max="10485" width="9.140625" style="5"/>
    <col min="10486" max="10486" width="0.7109375" style="5" customWidth="1"/>
    <col min="10487" max="10487" width="11" style="5" customWidth="1"/>
    <col min="10488" max="10488" width="9.140625" style="5"/>
    <col min="10489" max="10489" width="0.7109375" style="5" customWidth="1"/>
    <col min="10490" max="10490" width="11" style="5" customWidth="1"/>
    <col min="10491" max="10491" width="9.140625" style="5"/>
    <col min="10492" max="10492" width="0.7109375" style="5" customWidth="1"/>
    <col min="10493" max="10493" width="11" style="5" customWidth="1"/>
    <col min="10494" max="10723" width="9.140625" style="5"/>
    <col min="10724" max="10724" width="21.140625" style="5" customWidth="1"/>
    <col min="10725" max="10725" width="11" style="5" customWidth="1"/>
    <col min="10726" max="10726" width="9" style="5" customWidth="1"/>
    <col min="10727" max="10727" width="0.7109375" style="5" customWidth="1"/>
    <col min="10728" max="10728" width="11" style="5" customWidth="1"/>
    <col min="10729" max="10729" width="9.140625" style="5"/>
    <col min="10730" max="10730" width="0.7109375" style="5" customWidth="1"/>
    <col min="10731" max="10731" width="11" style="5" customWidth="1"/>
    <col min="10732" max="10732" width="9.140625" style="5"/>
    <col min="10733" max="10733" width="0.7109375" style="5" customWidth="1"/>
    <col min="10734" max="10734" width="16.42578125" style="5" customWidth="1"/>
    <col min="10735" max="10735" width="9.140625" style="5"/>
    <col min="10736" max="10736" width="0.7109375" style="5" customWidth="1"/>
    <col min="10737" max="10737" width="11" style="5" customWidth="1"/>
    <col min="10738" max="10738" width="9.140625" style="5"/>
    <col min="10739" max="10739" width="0.7109375" style="5" customWidth="1"/>
    <col min="10740" max="10740" width="11" style="5" customWidth="1"/>
    <col min="10741" max="10741" width="9.140625" style="5"/>
    <col min="10742" max="10742" width="0.7109375" style="5" customWidth="1"/>
    <col min="10743" max="10743" width="11" style="5" customWidth="1"/>
    <col min="10744" max="10744" width="9.140625" style="5"/>
    <col min="10745" max="10745" width="0.7109375" style="5" customWidth="1"/>
    <col min="10746" max="10746" width="11" style="5" customWidth="1"/>
    <col min="10747" max="10747" width="9.140625" style="5"/>
    <col min="10748" max="10748" width="0.7109375" style="5" customWidth="1"/>
    <col min="10749" max="10749" width="11" style="5" customWidth="1"/>
    <col min="10750" max="10979" width="9.140625" style="5"/>
    <col min="10980" max="10980" width="21.140625" style="5" customWidth="1"/>
    <col min="10981" max="10981" width="11" style="5" customWidth="1"/>
    <col min="10982" max="10982" width="9" style="5" customWidth="1"/>
    <col min="10983" max="10983" width="0.7109375" style="5" customWidth="1"/>
    <col min="10984" max="10984" width="11" style="5" customWidth="1"/>
    <col min="10985" max="10985" width="9.140625" style="5"/>
    <col min="10986" max="10986" width="0.7109375" style="5" customWidth="1"/>
    <col min="10987" max="10987" width="11" style="5" customWidth="1"/>
    <col min="10988" max="10988" width="9.140625" style="5"/>
    <col min="10989" max="10989" width="0.7109375" style="5" customWidth="1"/>
    <col min="10990" max="10990" width="16.42578125" style="5" customWidth="1"/>
    <col min="10991" max="10991" width="9.140625" style="5"/>
    <col min="10992" max="10992" width="0.7109375" style="5" customWidth="1"/>
    <col min="10993" max="10993" width="11" style="5" customWidth="1"/>
    <col min="10994" max="10994" width="9.140625" style="5"/>
    <col min="10995" max="10995" width="0.7109375" style="5" customWidth="1"/>
    <col min="10996" max="10996" width="11" style="5" customWidth="1"/>
    <col min="10997" max="10997" width="9.140625" style="5"/>
    <col min="10998" max="10998" width="0.7109375" style="5" customWidth="1"/>
    <col min="10999" max="10999" width="11" style="5" customWidth="1"/>
    <col min="11000" max="11000" width="9.140625" style="5"/>
    <col min="11001" max="11001" width="0.7109375" style="5" customWidth="1"/>
    <col min="11002" max="11002" width="11" style="5" customWidth="1"/>
    <col min="11003" max="11003" width="9.140625" style="5"/>
    <col min="11004" max="11004" width="0.7109375" style="5" customWidth="1"/>
    <col min="11005" max="11005" width="11" style="5" customWidth="1"/>
    <col min="11006" max="11235" width="9.140625" style="5"/>
    <col min="11236" max="11236" width="21.140625" style="5" customWidth="1"/>
    <col min="11237" max="11237" width="11" style="5" customWidth="1"/>
    <col min="11238" max="11238" width="9" style="5" customWidth="1"/>
    <col min="11239" max="11239" width="0.7109375" style="5" customWidth="1"/>
    <col min="11240" max="11240" width="11" style="5" customWidth="1"/>
    <col min="11241" max="11241" width="9.140625" style="5"/>
    <col min="11242" max="11242" width="0.7109375" style="5" customWidth="1"/>
    <col min="11243" max="11243" width="11" style="5" customWidth="1"/>
    <col min="11244" max="11244" width="9.140625" style="5"/>
    <col min="11245" max="11245" width="0.7109375" style="5" customWidth="1"/>
    <col min="11246" max="11246" width="16.42578125" style="5" customWidth="1"/>
    <col min="11247" max="11247" width="9.140625" style="5"/>
    <col min="11248" max="11248" width="0.7109375" style="5" customWidth="1"/>
    <col min="11249" max="11249" width="11" style="5" customWidth="1"/>
    <col min="11250" max="11250" width="9.140625" style="5"/>
    <col min="11251" max="11251" width="0.7109375" style="5" customWidth="1"/>
    <col min="11252" max="11252" width="11" style="5" customWidth="1"/>
    <col min="11253" max="11253" width="9.140625" style="5"/>
    <col min="11254" max="11254" width="0.7109375" style="5" customWidth="1"/>
    <col min="11255" max="11255" width="11" style="5" customWidth="1"/>
    <col min="11256" max="11256" width="9.140625" style="5"/>
    <col min="11257" max="11257" width="0.7109375" style="5" customWidth="1"/>
    <col min="11258" max="11258" width="11" style="5" customWidth="1"/>
    <col min="11259" max="11259" width="9.140625" style="5"/>
    <col min="11260" max="11260" width="0.7109375" style="5" customWidth="1"/>
    <col min="11261" max="11261" width="11" style="5" customWidth="1"/>
    <col min="11262" max="11491" width="9.140625" style="5"/>
    <col min="11492" max="11492" width="21.140625" style="5" customWidth="1"/>
    <col min="11493" max="11493" width="11" style="5" customWidth="1"/>
    <col min="11494" max="11494" width="9" style="5" customWidth="1"/>
    <col min="11495" max="11495" width="0.7109375" style="5" customWidth="1"/>
    <col min="11496" max="11496" width="11" style="5" customWidth="1"/>
    <col min="11497" max="11497" width="9.140625" style="5"/>
    <col min="11498" max="11498" width="0.7109375" style="5" customWidth="1"/>
    <col min="11499" max="11499" width="11" style="5" customWidth="1"/>
    <col min="11500" max="11500" width="9.140625" style="5"/>
    <col min="11501" max="11501" width="0.7109375" style="5" customWidth="1"/>
    <col min="11502" max="11502" width="16.42578125" style="5" customWidth="1"/>
    <col min="11503" max="11503" width="9.140625" style="5"/>
    <col min="11504" max="11504" width="0.7109375" style="5" customWidth="1"/>
    <col min="11505" max="11505" width="11" style="5" customWidth="1"/>
    <col min="11506" max="11506" width="9.140625" style="5"/>
    <col min="11507" max="11507" width="0.7109375" style="5" customWidth="1"/>
    <col min="11508" max="11508" width="11" style="5" customWidth="1"/>
    <col min="11509" max="11509" width="9.140625" style="5"/>
    <col min="11510" max="11510" width="0.7109375" style="5" customWidth="1"/>
    <col min="11511" max="11511" width="11" style="5" customWidth="1"/>
    <col min="11512" max="11512" width="9.140625" style="5"/>
    <col min="11513" max="11513" width="0.7109375" style="5" customWidth="1"/>
    <col min="11514" max="11514" width="11" style="5" customWidth="1"/>
    <col min="11515" max="11515" width="9.140625" style="5"/>
    <col min="11516" max="11516" width="0.7109375" style="5" customWidth="1"/>
    <col min="11517" max="11517" width="11" style="5" customWidth="1"/>
    <col min="11518" max="11747" width="9.140625" style="5"/>
    <col min="11748" max="11748" width="21.140625" style="5" customWidth="1"/>
    <col min="11749" max="11749" width="11" style="5" customWidth="1"/>
    <col min="11750" max="11750" width="9" style="5" customWidth="1"/>
    <col min="11751" max="11751" width="0.7109375" style="5" customWidth="1"/>
    <col min="11752" max="11752" width="11" style="5" customWidth="1"/>
    <col min="11753" max="11753" width="9.140625" style="5"/>
    <col min="11754" max="11754" width="0.7109375" style="5" customWidth="1"/>
    <col min="11755" max="11755" width="11" style="5" customWidth="1"/>
    <col min="11756" max="11756" width="9.140625" style="5"/>
    <col min="11757" max="11757" width="0.7109375" style="5" customWidth="1"/>
    <col min="11758" max="11758" width="16.42578125" style="5" customWidth="1"/>
    <col min="11759" max="11759" width="9.140625" style="5"/>
    <col min="11760" max="11760" width="0.7109375" style="5" customWidth="1"/>
    <col min="11761" max="11761" width="11" style="5" customWidth="1"/>
    <col min="11762" max="11762" width="9.140625" style="5"/>
    <col min="11763" max="11763" width="0.7109375" style="5" customWidth="1"/>
    <col min="11764" max="11764" width="11" style="5" customWidth="1"/>
    <col min="11765" max="11765" width="9.140625" style="5"/>
    <col min="11766" max="11766" width="0.7109375" style="5" customWidth="1"/>
    <col min="11767" max="11767" width="11" style="5" customWidth="1"/>
    <col min="11768" max="11768" width="9.140625" style="5"/>
    <col min="11769" max="11769" width="0.7109375" style="5" customWidth="1"/>
    <col min="11770" max="11770" width="11" style="5" customWidth="1"/>
    <col min="11771" max="11771" width="9.140625" style="5"/>
    <col min="11772" max="11772" width="0.7109375" style="5" customWidth="1"/>
    <col min="11773" max="11773" width="11" style="5" customWidth="1"/>
    <col min="11774" max="12003" width="9.140625" style="5"/>
    <col min="12004" max="12004" width="21.140625" style="5" customWidth="1"/>
    <col min="12005" max="12005" width="11" style="5" customWidth="1"/>
    <col min="12006" max="12006" width="9" style="5" customWidth="1"/>
    <col min="12007" max="12007" width="0.7109375" style="5" customWidth="1"/>
    <col min="12008" max="12008" width="11" style="5" customWidth="1"/>
    <col min="12009" max="12009" width="9.140625" style="5"/>
    <col min="12010" max="12010" width="0.7109375" style="5" customWidth="1"/>
    <col min="12011" max="12011" width="11" style="5" customWidth="1"/>
    <col min="12012" max="12012" width="9.140625" style="5"/>
    <col min="12013" max="12013" width="0.7109375" style="5" customWidth="1"/>
    <col min="12014" max="12014" width="16.42578125" style="5" customWidth="1"/>
    <col min="12015" max="12015" width="9.140625" style="5"/>
    <col min="12016" max="12016" width="0.7109375" style="5" customWidth="1"/>
    <col min="12017" max="12017" width="11" style="5" customWidth="1"/>
    <col min="12018" max="12018" width="9.140625" style="5"/>
    <col min="12019" max="12019" width="0.7109375" style="5" customWidth="1"/>
    <col min="12020" max="12020" width="11" style="5" customWidth="1"/>
    <col min="12021" max="12021" width="9.140625" style="5"/>
    <col min="12022" max="12022" width="0.7109375" style="5" customWidth="1"/>
    <col min="12023" max="12023" width="11" style="5" customWidth="1"/>
    <col min="12024" max="12024" width="9.140625" style="5"/>
    <col min="12025" max="12025" width="0.7109375" style="5" customWidth="1"/>
    <col min="12026" max="12026" width="11" style="5" customWidth="1"/>
    <col min="12027" max="12027" width="9.140625" style="5"/>
    <col min="12028" max="12028" width="0.7109375" style="5" customWidth="1"/>
    <col min="12029" max="12029" width="11" style="5" customWidth="1"/>
    <col min="12030" max="12259" width="9.140625" style="5"/>
    <col min="12260" max="12260" width="21.140625" style="5" customWidth="1"/>
    <col min="12261" max="12261" width="11" style="5" customWidth="1"/>
    <col min="12262" max="12262" width="9" style="5" customWidth="1"/>
    <col min="12263" max="12263" width="0.7109375" style="5" customWidth="1"/>
    <col min="12264" max="12264" width="11" style="5" customWidth="1"/>
    <col min="12265" max="12265" width="9.140625" style="5"/>
    <col min="12266" max="12266" width="0.7109375" style="5" customWidth="1"/>
    <col min="12267" max="12267" width="11" style="5" customWidth="1"/>
    <col min="12268" max="12268" width="9.140625" style="5"/>
    <col min="12269" max="12269" width="0.7109375" style="5" customWidth="1"/>
    <col min="12270" max="12270" width="16.42578125" style="5" customWidth="1"/>
    <col min="12271" max="12271" width="9.140625" style="5"/>
    <col min="12272" max="12272" width="0.7109375" style="5" customWidth="1"/>
    <col min="12273" max="12273" width="11" style="5" customWidth="1"/>
    <col min="12274" max="12274" width="9.140625" style="5"/>
    <col min="12275" max="12275" width="0.7109375" style="5" customWidth="1"/>
    <col min="12276" max="12276" width="11" style="5" customWidth="1"/>
    <col min="12277" max="12277" width="9.140625" style="5"/>
    <col min="12278" max="12278" width="0.7109375" style="5" customWidth="1"/>
    <col min="12279" max="12279" width="11" style="5" customWidth="1"/>
    <col min="12280" max="12280" width="9.140625" style="5"/>
    <col min="12281" max="12281" width="0.7109375" style="5" customWidth="1"/>
    <col min="12282" max="12282" width="11" style="5" customWidth="1"/>
    <col min="12283" max="12283" width="9.140625" style="5"/>
    <col min="12284" max="12284" width="0.7109375" style="5" customWidth="1"/>
    <col min="12285" max="12285" width="11" style="5" customWidth="1"/>
    <col min="12286" max="12515" width="9.140625" style="5"/>
    <col min="12516" max="12516" width="21.140625" style="5" customWidth="1"/>
    <col min="12517" max="12517" width="11" style="5" customWidth="1"/>
    <col min="12518" max="12518" width="9" style="5" customWidth="1"/>
    <col min="12519" max="12519" width="0.7109375" style="5" customWidth="1"/>
    <col min="12520" max="12520" width="11" style="5" customWidth="1"/>
    <col min="12521" max="12521" width="9.140625" style="5"/>
    <col min="12522" max="12522" width="0.7109375" style="5" customWidth="1"/>
    <col min="12523" max="12523" width="11" style="5" customWidth="1"/>
    <col min="12524" max="12524" width="9.140625" style="5"/>
    <col min="12525" max="12525" width="0.7109375" style="5" customWidth="1"/>
    <col min="12526" max="12526" width="16.42578125" style="5" customWidth="1"/>
    <col min="12527" max="12527" width="9.140625" style="5"/>
    <col min="12528" max="12528" width="0.7109375" style="5" customWidth="1"/>
    <col min="12529" max="12529" width="11" style="5" customWidth="1"/>
    <col min="12530" max="12530" width="9.140625" style="5"/>
    <col min="12531" max="12531" width="0.7109375" style="5" customWidth="1"/>
    <col min="12532" max="12532" width="11" style="5" customWidth="1"/>
    <col min="12533" max="12533" width="9.140625" style="5"/>
    <col min="12534" max="12534" width="0.7109375" style="5" customWidth="1"/>
    <col min="12535" max="12535" width="11" style="5" customWidth="1"/>
    <col min="12536" max="12536" width="9.140625" style="5"/>
    <col min="12537" max="12537" width="0.7109375" style="5" customWidth="1"/>
    <col min="12538" max="12538" width="11" style="5" customWidth="1"/>
    <col min="12539" max="12539" width="9.140625" style="5"/>
    <col min="12540" max="12540" width="0.7109375" style="5" customWidth="1"/>
    <col min="12541" max="12541" width="11" style="5" customWidth="1"/>
    <col min="12542" max="12771" width="9.140625" style="5"/>
    <col min="12772" max="12772" width="21.140625" style="5" customWidth="1"/>
    <col min="12773" max="12773" width="11" style="5" customWidth="1"/>
    <col min="12774" max="12774" width="9" style="5" customWidth="1"/>
    <col min="12775" max="12775" width="0.7109375" style="5" customWidth="1"/>
    <col min="12776" max="12776" width="11" style="5" customWidth="1"/>
    <col min="12777" max="12777" width="9.140625" style="5"/>
    <col min="12778" max="12778" width="0.7109375" style="5" customWidth="1"/>
    <col min="12779" max="12779" width="11" style="5" customWidth="1"/>
    <col min="12780" max="12780" width="9.140625" style="5"/>
    <col min="12781" max="12781" width="0.7109375" style="5" customWidth="1"/>
    <col min="12782" max="12782" width="16.42578125" style="5" customWidth="1"/>
    <col min="12783" max="12783" width="9.140625" style="5"/>
    <col min="12784" max="12784" width="0.7109375" style="5" customWidth="1"/>
    <col min="12785" max="12785" width="11" style="5" customWidth="1"/>
    <col min="12786" max="12786" width="9.140625" style="5"/>
    <col min="12787" max="12787" width="0.7109375" style="5" customWidth="1"/>
    <col min="12788" max="12788" width="11" style="5" customWidth="1"/>
    <col min="12789" max="12789" width="9.140625" style="5"/>
    <col min="12790" max="12790" width="0.7109375" style="5" customWidth="1"/>
    <col min="12791" max="12791" width="11" style="5" customWidth="1"/>
    <col min="12792" max="12792" width="9.140625" style="5"/>
    <col min="12793" max="12793" width="0.7109375" style="5" customWidth="1"/>
    <col min="12794" max="12794" width="11" style="5" customWidth="1"/>
    <col min="12795" max="12795" width="9.140625" style="5"/>
    <col min="12796" max="12796" width="0.7109375" style="5" customWidth="1"/>
    <col min="12797" max="12797" width="11" style="5" customWidth="1"/>
    <col min="12798" max="13027" width="9.140625" style="5"/>
    <col min="13028" max="13028" width="21.140625" style="5" customWidth="1"/>
    <col min="13029" max="13029" width="11" style="5" customWidth="1"/>
    <col min="13030" max="13030" width="9" style="5" customWidth="1"/>
    <col min="13031" max="13031" width="0.7109375" style="5" customWidth="1"/>
    <col min="13032" max="13032" width="11" style="5" customWidth="1"/>
    <col min="13033" max="13033" width="9.140625" style="5"/>
    <col min="13034" max="13034" width="0.7109375" style="5" customWidth="1"/>
    <col min="13035" max="13035" width="11" style="5" customWidth="1"/>
    <col min="13036" max="13036" width="9.140625" style="5"/>
    <col min="13037" max="13037" width="0.7109375" style="5" customWidth="1"/>
    <col min="13038" max="13038" width="16.42578125" style="5" customWidth="1"/>
    <col min="13039" max="13039" width="9.140625" style="5"/>
    <col min="13040" max="13040" width="0.7109375" style="5" customWidth="1"/>
    <col min="13041" max="13041" width="11" style="5" customWidth="1"/>
    <col min="13042" max="13042" width="9.140625" style="5"/>
    <col min="13043" max="13043" width="0.7109375" style="5" customWidth="1"/>
    <col min="13044" max="13044" width="11" style="5" customWidth="1"/>
    <col min="13045" max="13045" width="9.140625" style="5"/>
    <col min="13046" max="13046" width="0.7109375" style="5" customWidth="1"/>
    <col min="13047" max="13047" width="11" style="5" customWidth="1"/>
    <col min="13048" max="13048" width="9.140625" style="5"/>
    <col min="13049" max="13049" width="0.7109375" style="5" customWidth="1"/>
    <col min="13050" max="13050" width="11" style="5" customWidth="1"/>
    <col min="13051" max="13051" width="9.140625" style="5"/>
    <col min="13052" max="13052" width="0.7109375" style="5" customWidth="1"/>
    <col min="13053" max="13053" width="11" style="5" customWidth="1"/>
    <col min="13054" max="13283" width="9.140625" style="5"/>
    <col min="13284" max="13284" width="21.140625" style="5" customWidth="1"/>
    <col min="13285" max="13285" width="11" style="5" customWidth="1"/>
    <col min="13286" max="13286" width="9" style="5" customWidth="1"/>
    <col min="13287" max="13287" width="0.7109375" style="5" customWidth="1"/>
    <col min="13288" max="13288" width="11" style="5" customWidth="1"/>
    <col min="13289" max="13289" width="9.140625" style="5"/>
    <col min="13290" max="13290" width="0.7109375" style="5" customWidth="1"/>
    <col min="13291" max="13291" width="11" style="5" customWidth="1"/>
    <col min="13292" max="13292" width="9.140625" style="5"/>
    <col min="13293" max="13293" width="0.7109375" style="5" customWidth="1"/>
    <col min="13294" max="13294" width="16.42578125" style="5" customWidth="1"/>
    <col min="13295" max="13295" width="9.140625" style="5"/>
    <col min="13296" max="13296" width="0.7109375" style="5" customWidth="1"/>
    <col min="13297" max="13297" width="11" style="5" customWidth="1"/>
    <col min="13298" max="13298" width="9.140625" style="5"/>
    <col min="13299" max="13299" width="0.7109375" style="5" customWidth="1"/>
    <col min="13300" max="13300" width="11" style="5" customWidth="1"/>
    <col min="13301" max="13301" width="9.140625" style="5"/>
    <col min="13302" max="13302" width="0.7109375" style="5" customWidth="1"/>
    <col min="13303" max="13303" width="11" style="5" customWidth="1"/>
    <col min="13304" max="13304" width="9.140625" style="5"/>
    <col min="13305" max="13305" width="0.7109375" style="5" customWidth="1"/>
    <col min="13306" max="13306" width="11" style="5" customWidth="1"/>
    <col min="13307" max="13307" width="9.140625" style="5"/>
    <col min="13308" max="13308" width="0.7109375" style="5" customWidth="1"/>
    <col min="13309" max="13309" width="11" style="5" customWidth="1"/>
    <col min="13310" max="13539" width="9.140625" style="5"/>
    <col min="13540" max="13540" width="21.140625" style="5" customWidth="1"/>
    <col min="13541" max="13541" width="11" style="5" customWidth="1"/>
    <col min="13542" max="13542" width="9" style="5" customWidth="1"/>
    <col min="13543" max="13543" width="0.7109375" style="5" customWidth="1"/>
    <col min="13544" max="13544" width="11" style="5" customWidth="1"/>
    <col min="13545" max="13545" width="9.140625" style="5"/>
    <col min="13546" max="13546" width="0.7109375" style="5" customWidth="1"/>
    <col min="13547" max="13547" width="11" style="5" customWidth="1"/>
    <col min="13548" max="13548" width="9.140625" style="5"/>
    <col min="13549" max="13549" width="0.7109375" style="5" customWidth="1"/>
    <col min="13550" max="13550" width="16.42578125" style="5" customWidth="1"/>
    <col min="13551" max="13551" width="9.140625" style="5"/>
    <col min="13552" max="13552" width="0.7109375" style="5" customWidth="1"/>
    <col min="13553" max="13553" width="11" style="5" customWidth="1"/>
    <col min="13554" max="13554" width="9.140625" style="5"/>
    <col min="13555" max="13555" width="0.7109375" style="5" customWidth="1"/>
    <col min="13556" max="13556" width="11" style="5" customWidth="1"/>
    <col min="13557" max="13557" width="9.140625" style="5"/>
    <col min="13558" max="13558" width="0.7109375" style="5" customWidth="1"/>
    <col min="13559" max="13559" width="11" style="5" customWidth="1"/>
    <col min="13560" max="13560" width="9.140625" style="5"/>
    <col min="13561" max="13561" width="0.7109375" style="5" customWidth="1"/>
    <col min="13562" max="13562" width="11" style="5" customWidth="1"/>
    <col min="13563" max="13563" width="9.140625" style="5"/>
    <col min="13564" max="13564" width="0.7109375" style="5" customWidth="1"/>
    <col min="13565" max="13565" width="11" style="5" customWidth="1"/>
    <col min="13566" max="13795" width="9.140625" style="5"/>
    <col min="13796" max="13796" width="21.140625" style="5" customWidth="1"/>
    <col min="13797" max="13797" width="11" style="5" customWidth="1"/>
    <col min="13798" max="13798" width="9" style="5" customWidth="1"/>
    <col min="13799" max="13799" width="0.7109375" style="5" customWidth="1"/>
    <col min="13800" max="13800" width="11" style="5" customWidth="1"/>
    <col min="13801" max="13801" width="9.140625" style="5"/>
    <col min="13802" max="13802" width="0.7109375" style="5" customWidth="1"/>
    <col min="13803" max="13803" width="11" style="5" customWidth="1"/>
    <col min="13804" max="13804" width="9.140625" style="5"/>
    <col min="13805" max="13805" width="0.7109375" style="5" customWidth="1"/>
    <col min="13806" max="13806" width="16.42578125" style="5" customWidth="1"/>
    <col min="13807" max="13807" width="9.140625" style="5"/>
    <col min="13808" max="13808" width="0.7109375" style="5" customWidth="1"/>
    <col min="13809" max="13809" width="11" style="5" customWidth="1"/>
    <col min="13810" max="13810" width="9.140625" style="5"/>
    <col min="13811" max="13811" width="0.7109375" style="5" customWidth="1"/>
    <col min="13812" max="13812" width="11" style="5" customWidth="1"/>
    <col min="13813" max="13813" width="9.140625" style="5"/>
    <col min="13814" max="13814" width="0.7109375" style="5" customWidth="1"/>
    <col min="13815" max="13815" width="11" style="5" customWidth="1"/>
    <col min="13816" max="13816" width="9.140625" style="5"/>
    <col min="13817" max="13817" width="0.7109375" style="5" customWidth="1"/>
    <col min="13818" max="13818" width="11" style="5" customWidth="1"/>
    <col min="13819" max="13819" width="9.140625" style="5"/>
    <col min="13820" max="13820" width="0.7109375" style="5" customWidth="1"/>
    <col min="13821" max="13821" width="11" style="5" customWidth="1"/>
    <col min="13822" max="14051" width="9.140625" style="5"/>
    <col min="14052" max="14052" width="21.140625" style="5" customWidth="1"/>
    <col min="14053" max="14053" width="11" style="5" customWidth="1"/>
    <col min="14054" max="14054" width="9" style="5" customWidth="1"/>
    <col min="14055" max="14055" width="0.7109375" style="5" customWidth="1"/>
    <col min="14056" max="14056" width="11" style="5" customWidth="1"/>
    <col min="14057" max="14057" width="9.140625" style="5"/>
    <col min="14058" max="14058" width="0.7109375" style="5" customWidth="1"/>
    <col min="14059" max="14059" width="11" style="5" customWidth="1"/>
    <col min="14060" max="14060" width="9.140625" style="5"/>
    <col min="14061" max="14061" width="0.7109375" style="5" customWidth="1"/>
    <col min="14062" max="14062" width="16.42578125" style="5" customWidth="1"/>
    <col min="14063" max="14063" width="9.140625" style="5"/>
    <col min="14064" max="14064" width="0.7109375" style="5" customWidth="1"/>
    <col min="14065" max="14065" width="11" style="5" customWidth="1"/>
    <col min="14066" max="14066" width="9.140625" style="5"/>
    <col min="14067" max="14067" width="0.7109375" style="5" customWidth="1"/>
    <col min="14068" max="14068" width="11" style="5" customWidth="1"/>
    <col min="14069" max="14069" width="9.140625" style="5"/>
    <col min="14070" max="14070" width="0.7109375" style="5" customWidth="1"/>
    <col min="14071" max="14071" width="11" style="5" customWidth="1"/>
    <col min="14072" max="14072" width="9.140625" style="5"/>
    <col min="14073" max="14073" width="0.7109375" style="5" customWidth="1"/>
    <col min="14074" max="14074" width="11" style="5" customWidth="1"/>
    <col min="14075" max="14075" width="9.140625" style="5"/>
    <col min="14076" max="14076" width="0.7109375" style="5" customWidth="1"/>
    <col min="14077" max="14077" width="11" style="5" customWidth="1"/>
    <col min="14078" max="14307" width="9.140625" style="5"/>
    <col min="14308" max="14308" width="21.140625" style="5" customWidth="1"/>
    <col min="14309" max="14309" width="11" style="5" customWidth="1"/>
    <col min="14310" max="14310" width="9" style="5" customWidth="1"/>
    <col min="14311" max="14311" width="0.7109375" style="5" customWidth="1"/>
    <col min="14312" max="14312" width="11" style="5" customWidth="1"/>
    <col min="14313" max="14313" width="9.140625" style="5"/>
    <col min="14314" max="14314" width="0.7109375" style="5" customWidth="1"/>
    <col min="14315" max="14315" width="11" style="5" customWidth="1"/>
    <col min="14316" max="14316" width="9.140625" style="5"/>
    <col min="14317" max="14317" width="0.7109375" style="5" customWidth="1"/>
    <col min="14318" max="14318" width="16.42578125" style="5" customWidth="1"/>
    <col min="14319" max="14319" width="9.140625" style="5"/>
    <col min="14320" max="14320" width="0.7109375" style="5" customWidth="1"/>
    <col min="14321" max="14321" width="11" style="5" customWidth="1"/>
    <col min="14322" max="14322" width="9.140625" style="5"/>
    <col min="14323" max="14323" width="0.7109375" style="5" customWidth="1"/>
    <col min="14324" max="14324" width="11" style="5" customWidth="1"/>
    <col min="14325" max="14325" width="9.140625" style="5"/>
    <col min="14326" max="14326" width="0.7109375" style="5" customWidth="1"/>
    <col min="14327" max="14327" width="11" style="5" customWidth="1"/>
    <col min="14328" max="14328" width="9.140625" style="5"/>
    <col min="14329" max="14329" width="0.7109375" style="5" customWidth="1"/>
    <col min="14330" max="14330" width="11" style="5" customWidth="1"/>
    <col min="14331" max="14331" width="9.140625" style="5"/>
    <col min="14332" max="14332" width="0.7109375" style="5" customWidth="1"/>
    <col min="14333" max="14333" width="11" style="5" customWidth="1"/>
    <col min="14334" max="14563" width="9.140625" style="5"/>
    <col min="14564" max="14564" width="21.140625" style="5" customWidth="1"/>
    <col min="14565" max="14565" width="11" style="5" customWidth="1"/>
    <col min="14566" max="14566" width="9" style="5" customWidth="1"/>
    <col min="14567" max="14567" width="0.7109375" style="5" customWidth="1"/>
    <col min="14568" max="14568" width="11" style="5" customWidth="1"/>
    <col min="14569" max="14569" width="9.140625" style="5"/>
    <col min="14570" max="14570" width="0.7109375" style="5" customWidth="1"/>
    <col min="14571" max="14571" width="11" style="5" customWidth="1"/>
    <col min="14572" max="14572" width="9.140625" style="5"/>
    <col min="14573" max="14573" width="0.7109375" style="5" customWidth="1"/>
    <col min="14574" max="14574" width="16.42578125" style="5" customWidth="1"/>
    <col min="14575" max="14575" width="9.140625" style="5"/>
    <col min="14576" max="14576" width="0.7109375" style="5" customWidth="1"/>
    <col min="14577" max="14577" width="11" style="5" customWidth="1"/>
    <col min="14578" max="14578" width="9.140625" style="5"/>
    <col min="14579" max="14579" width="0.7109375" style="5" customWidth="1"/>
    <col min="14580" max="14580" width="11" style="5" customWidth="1"/>
    <col min="14581" max="14581" width="9.140625" style="5"/>
    <col min="14582" max="14582" width="0.7109375" style="5" customWidth="1"/>
    <col min="14583" max="14583" width="11" style="5" customWidth="1"/>
    <col min="14584" max="14584" width="9.140625" style="5"/>
    <col min="14585" max="14585" width="0.7109375" style="5" customWidth="1"/>
    <col min="14586" max="14586" width="11" style="5" customWidth="1"/>
    <col min="14587" max="14587" width="9.140625" style="5"/>
    <col min="14588" max="14588" width="0.7109375" style="5" customWidth="1"/>
    <col min="14589" max="14589" width="11" style="5" customWidth="1"/>
    <col min="14590" max="14819" width="9.140625" style="5"/>
    <col min="14820" max="14820" width="21.140625" style="5" customWidth="1"/>
    <col min="14821" max="14821" width="11" style="5" customWidth="1"/>
    <col min="14822" max="14822" width="9" style="5" customWidth="1"/>
    <col min="14823" max="14823" width="0.7109375" style="5" customWidth="1"/>
    <col min="14824" max="14824" width="11" style="5" customWidth="1"/>
    <col min="14825" max="14825" width="9.140625" style="5"/>
    <col min="14826" max="14826" width="0.7109375" style="5" customWidth="1"/>
    <col min="14827" max="14827" width="11" style="5" customWidth="1"/>
    <col min="14828" max="14828" width="9.140625" style="5"/>
    <col min="14829" max="14829" width="0.7109375" style="5" customWidth="1"/>
    <col min="14830" max="14830" width="16.42578125" style="5" customWidth="1"/>
    <col min="14831" max="14831" width="9.140625" style="5"/>
    <col min="14832" max="14832" width="0.7109375" style="5" customWidth="1"/>
    <col min="14833" max="14833" width="11" style="5" customWidth="1"/>
    <col min="14834" max="14834" width="9.140625" style="5"/>
    <col min="14835" max="14835" width="0.7109375" style="5" customWidth="1"/>
    <col min="14836" max="14836" width="11" style="5" customWidth="1"/>
    <col min="14837" max="14837" width="9.140625" style="5"/>
    <col min="14838" max="14838" width="0.7109375" style="5" customWidth="1"/>
    <col min="14839" max="14839" width="11" style="5" customWidth="1"/>
    <col min="14840" max="14840" width="9.140625" style="5"/>
    <col min="14841" max="14841" width="0.7109375" style="5" customWidth="1"/>
    <col min="14842" max="14842" width="11" style="5" customWidth="1"/>
    <col min="14843" max="14843" width="9.140625" style="5"/>
    <col min="14844" max="14844" width="0.7109375" style="5" customWidth="1"/>
    <col min="14845" max="14845" width="11" style="5" customWidth="1"/>
    <col min="14846" max="15075" width="9.140625" style="5"/>
    <col min="15076" max="15076" width="21.140625" style="5" customWidth="1"/>
    <col min="15077" max="15077" width="11" style="5" customWidth="1"/>
    <col min="15078" max="15078" width="9" style="5" customWidth="1"/>
    <col min="15079" max="15079" width="0.7109375" style="5" customWidth="1"/>
    <col min="15080" max="15080" width="11" style="5" customWidth="1"/>
    <col min="15081" max="15081" width="9.140625" style="5"/>
    <col min="15082" max="15082" width="0.7109375" style="5" customWidth="1"/>
    <col min="15083" max="15083" width="11" style="5" customWidth="1"/>
    <col min="15084" max="15084" width="9.140625" style="5"/>
    <col min="15085" max="15085" width="0.7109375" style="5" customWidth="1"/>
    <col min="15086" max="15086" width="16.42578125" style="5" customWidth="1"/>
    <col min="15087" max="15087" width="9.140625" style="5"/>
    <col min="15088" max="15088" width="0.7109375" style="5" customWidth="1"/>
    <col min="15089" max="15089" width="11" style="5" customWidth="1"/>
    <col min="15090" max="15090" width="9.140625" style="5"/>
    <col min="15091" max="15091" width="0.7109375" style="5" customWidth="1"/>
    <col min="15092" max="15092" width="11" style="5" customWidth="1"/>
    <col min="15093" max="15093" width="9.140625" style="5"/>
    <col min="15094" max="15094" width="0.7109375" style="5" customWidth="1"/>
    <col min="15095" max="15095" width="11" style="5" customWidth="1"/>
    <col min="15096" max="15096" width="9.140625" style="5"/>
    <col min="15097" max="15097" width="0.7109375" style="5" customWidth="1"/>
    <col min="15098" max="15098" width="11" style="5" customWidth="1"/>
    <col min="15099" max="15099" width="9.140625" style="5"/>
    <col min="15100" max="15100" width="0.7109375" style="5" customWidth="1"/>
    <col min="15101" max="15101" width="11" style="5" customWidth="1"/>
    <col min="15102" max="15331" width="9.140625" style="5"/>
    <col min="15332" max="15332" width="21.140625" style="5" customWidth="1"/>
    <col min="15333" max="15333" width="11" style="5" customWidth="1"/>
    <col min="15334" max="15334" width="9" style="5" customWidth="1"/>
    <col min="15335" max="15335" width="0.7109375" style="5" customWidth="1"/>
    <col min="15336" max="15336" width="11" style="5" customWidth="1"/>
    <col min="15337" max="15337" width="9.140625" style="5"/>
    <col min="15338" max="15338" width="0.7109375" style="5" customWidth="1"/>
    <col min="15339" max="15339" width="11" style="5" customWidth="1"/>
    <col min="15340" max="15340" width="9.140625" style="5"/>
    <col min="15341" max="15341" width="0.7109375" style="5" customWidth="1"/>
    <col min="15342" max="15342" width="16.42578125" style="5" customWidth="1"/>
    <col min="15343" max="15343" width="9.140625" style="5"/>
    <col min="15344" max="15344" width="0.7109375" style="5" customWidth="1"/>
    <col min="15345" max="15345" width="11" style="5" customWidth="1"/>
    <col min="15346" max="15346" width="9.140625" style="5"/>
    <col min="15347" max="15347" width="0.7109375" style="5" customWidth="1"/>
    <col min="15348" max="15348" width="11" style="5" customWidth="1"/>
    <col min="15349" max="15349" width="9.140625" style="5"/>
    <col min="15350" max="15350" width="0.7109375" style="5" customWidth="1"/>
    <col min="15351" max="15351" width="11" style="5" customWidth="1"/>
    <col min="15352" max="15352" width="9.140625" style="5"/>
    <col min="15353" max="15353" width="0.7109375" style="5" customWidth="1"/>
    <col min="15354" max="15354" width="11" style="5" customWidth="1"/>
    <col min="15355" max="15355" width="9.140625" style="5"/>
    <col min="15356" max="15356" width="0.7109375" style="5" customWidth="1"/>
    <col min="15357" max="15357" width="11" style="5" customWidth="1"/>
    <col min="15358" max="15587" width="9.140625" style="5"/>
    <col min="15588" max="15588" width="21.140625" style="5" customWidth="1"/>
    <col min="15589" max="15589" width="11" style="5" customWidth="1"/>
    <col min="15590" max="15590" width="9" style="5" customWidth="1"/>
    <col min="15591" max="15591" width="0.7109375" style="5" customWidth="1"/>
    <col min="15592" max="15592" width="11" style="5" customWidth="1"/>
    <col min="15593" max="15593" width="9.140625" style="5"/>
    <col min="15594" max="15594" width="0.7109375" style="5" customWidth="1"/>
    <col min="15595" max="15595" width="11" style="5" customWidth="1"/>
    <col min="15596" max="15596" width="9.140625" style="5"/>
    <col min="15597" max="15597" width="0.7109375" style="5" customWidth="1"/>
    <col min="15598" max="15598" width="16.42578125" style="5" customWidth="1"/>
    <col min="15599" max="15599" width="9.140625" style="5"/>
    <col min="15600" max="15600" width="0.7109375" style="5" customWidth="1"/>
    <col min="15601" max="15601" width="11" style="5" customWidth="1"/>
    <col min="15602" max="15602" width="9.140625" style="5"/>
    <col min="15603" max="15603" width="0.7109375" style="5" customWidth="1"/>
    <col min="15604" max="15604" width="11" style="5" customWidth="1"/>
    <col min="15605" max="15605" width="9.140625" style="5"/>
    <col min="15606" max="15606" width="0.7109375" style="5" customWidth="1"/>
    <col min="15607" max="15607" width="11" style="5" customWidth="1"/>
    <col min="15608" max="15608" width="9.140625" style="5"/>
    <col min="15609" max="15609" width="0.7109375" style="5" customWidth="1"/>
    <col min="15610" max="15610" width="11" style="5" customWidth="1"/>
    <col min="15611" max="15611" width="9.140625" style="5"/>
    <col min="15612" max="15612" width="0.7109375" style="5" customWidth="1"/>
    <col min="15613" max="15613" width="11" style="5" customWidth="1"/>
    <col min="15614" max="15843" width="9.140625" style="5"/>
    <col min="15844" max="15844" width="21.140625" style="5" customWidth="1"/>
    <col min="15845" max="15845" width="11" style="5" customWidth="1"/>
    <col min="15846" max="15846" width="9" style="5" customWidth="1"/>
    <col min="15847" max="15847" width="0.7109375" style="5" customWidth="1"/>
    <col min="15848" max="15848" width="11" style="5" customWidth="1"/>
    <col min="15849" max="15849" width="9.140625" style="5"/>
    <col min="15850" max="15850" width="0.7109375" style="5" customWidth="1"/>
    <col min="15851" max="15851" width="11" style="5" customWidth="1"/>
    <col min="15852" max="15852" width="9.140625" style="5"/>
    <col min="15853" max="15853" width="0.7109375" style="5" customWidth="1"/>
    <col min="15854" max="15854" width="16.42578125" style="5" customWidth="1"/>
    <col min="15855" max="15855" width="9.140625" style="5"/>
    <col min="15856" max="15856" width="0.7109375" style="5" customWidth="1"/>
    <col min="15857" max="15857" width="11" style="5" customWidth="1"/>
    <col min="15858" max="15858" width="9.140625" style="5"/>
    <col min="15859" max="15859" width="0.7109375" style="5" customWidth="1"/>
    <col min="15860" max="15860" width="11" style="5" customWidth="1"/>
    <col min="15861" max="15861" width="9.140625" style="5"/>
    <col min="15862" max="15862" width="0.7109375" style="5" customWidth="1"/>
    <col min="15863" max="15863" width="11" style="5" customWidth="1"/>
    <col min="15864" max="15864" width="9.140625" style="5"/>
    <col min="15865" max="15865" width="0.7109375" style="5" customWidth="1"/>
    <col min="15866" max="15866" width="11" style="5" customWidth="1"/>
    <col min="15867" max="15867" width="9.140625" style="5"/>
    <col min="15868" max="15868" width="0.7109375" style="5" customWidth="1"/>
    <col min="15869" max="15869" width="11" style="5" customWidth="1"/>
    <col min="15870" max="16099" width="9.140625" style="5"/>
    <col min="16100" max="16100" width="21.140625" style="5" customWidth="1"/>
    <col min="16101" max="16101" width="11" style="5" customWidth="1"/>
    <col min="16102" max="16102" width="9" style="5" customWidth="1"/>
    <col min="16103" max="16103" width="0.7109375" style="5" customWidth="1"/>
    <col min="16104" max="16104" width="11" style="5" customWidth="1"/>
    <col min="16105" max="16105" width="9.140625" style="5"/>
    <col min="16106" max="16106" width="0.7109375" style="5" customWidth="1"/>
    <col min="16107" max="16107" width="11" style="5" customWidth="1"/>
    <col min="16108" max="16108" width="9.140625" style="5"/>
    <col min="16109" max="16109" width="0.7109375" style="5" customWidth="1"/>
    <col min="16110" max="16110" width="16.42578125" style="5" customWidth="1"/>
    <col min="16111" max="16111" width="9.140625" style="5"/>
    <col min="16112" max="16112" width="0.7109375" style="5" customWidth="1"/>
    <col min="16113" max="16113" width="11" style="5" customWidth="1"/>
    <col min="16114" max="16114" width="9.140625" style="5"/>
    <col min="16115" max="16115" width="0.7109375" style="5" customWidth="1"/>
    <col min="16116" max="16116" width="11" style="5" customWidth="1"/>
    <col min="16117" max="16117" width="9.140625" style="5"/>
    <col min="16118" max="16118" width="0.7109375" style="5" customWidth="1"/>
    <col min="16119" max="16119" width="11" style="5" customWidth="1"/>
    <col min="16120" max="16120" width="9.140625" style="5"/>
    <col min="16121" max="16121" width="0.7109375" style="5" customWidth="1"/>
    <col min="16122" max="16122" width="11" style="5" customWidth="1"/>
    <col min="16123" max="16123" width="9.140625" style="5"/>
    <col min="16124" max="16124" width="0.7109375" style="5" customWidth="1"/>
    <col min="16125" max="16125" width="11" style="5" customWidth="1"/>
    <col min="16126" max="16355" width="9.140625" style="5"/>
    <col min="16356" max="16384" width="8.85546875" style="5" customWidth="1"/>
  </cols>
  <sheetData>
    <row r="1" spans="1:19" ht="18.75" x14ac:dyDescent="0.2">
      <c r="A1" s="9" t="s">
        <v>117</v>
      </c>
      <c r="B1" s="4"/>
      <c r="C1" s="4"/>
      <c r="D1" s="4"/>
      <c r="E1" s="4"/>
      <c r="F1" s="4"/>
    </row>
    <row r="2" spans="1:19" ht="15.75" customHeight="1" x14ac:dyDescent="0.2">
      <c r="A2" s="3"/>
      <c r="B2" s="4"/>
      <c r="C2" s="4"/>
      <c r="D2" s="4"/>
      <c r="E2" s="4"/>
      <c r="F2" s="4"/>
    </row>
    <row r="3" spans="1:19" ht="15.75" customHeight="1" x14ac:dyDescent="0.2">
      <c r="A3" s="6"/>
      <c r="B3" s="8" t="s">
        <v>5</v>
      </c>
      <c r="C3" s="8" t="s">
        <v>6</v>
      </c>
      <c r="D3" s="8" t="s">
        <v>7</v>
      </c>
      <c r="E3" s="8" t="s">
        <v>0</v>
      </c>
      <c r="F3" s="8" t="s">
        <v>1</v>
      </c>
      <c r="K3" s="12"/>
      <c r="L3" s="12"/>
      <c r="M3" s="12"/>
      <c r="S3" s="12"/>
    </row>
    <row r="4" spans="1:19" ht="15.75" customHeight="1" x14ac:dyDescent="0.2">
      <c r="A4" s="1" t="s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H4" s="58" t="s">
        <v>19</v>
      </c>
      <c r="I4" s="64"/>
      <c r="J4" s="142" t="s">
        <v>112</v>
      </c>
      <c r="K4" s="12"/>
      <c r="L4" s="12"/>
      <c r="M4" s="18"/>
      <c r="N4" s="58" t="s">
        <v>110</v>
      </c>
      <c r="O4" s="141" t="s">
        <v>114</v>
      </c>
    </row>
    <row r="5" spans="1:19" ht="15.75" customHeight="1" x14ac:dyDescent="0.2">
      <c r="A5" s="2" t="s">
        <v>48</v>
      </c>
      <c r="B5" s="11">
        <v>26.1</v>
      </c>
      <c r="C5" s="11"/>
      <c r="D5" s="11">
        <v>29.4</v>
      </c>
      <c r="E5" s="11">
        <v>24.9</v>
      </c>
      <c r="F5" s="11">
        <v>53.74</v>
      </c>
      <c r="H5" s="64" t="s">
        <v>9</v>
      </c>
      <c r="I5" s="58" t="s">
        <v>48</v>
      </c>
      <c r="J5" s="60">
        <f>B5</f>
        <v>26.1</v>
      </c>
      <c r="K5" s="12"/>
      <c r="L5" s="12"/>
      <c r="M5" s="18"/>
      <c r="N5" s="59" t="s">
        <v>48</v>
      </c>
      <c r="O5" s="65">
        <f>E5</f>
        <v>24.9</v>
      </c>
    </row>
    <row r="6" spans="1:19" ht="15.75" customHeight="1" x14ac:dyDescent="0.2">
      <c r="A6" s="2" t="s">
        <v>3</v>
      </c>
      <c r="B6" s="11">
        <v>27.13</v>
      </c>
      <c r="C6" s="11">
        <v>33.17</v>
      </c>
      <c r="D6" s="11">
        <v>25.93</v>
      </c>
      <c r="E6" s="11">
        <v>25.03</v>
      </c>
      <c r="F6" s="11">
        <v>53.98</v>
      </c>
      <c r="H6" s="64" t="s">
        <v>10</v>
      </c>
      <c r="I6" s="58" t="s">
        <v>49</v>
      </c>
      <c r="J6" s="60">
        <f>C8</f>
        <v>31.92</v>
      </c>
      <c r="K6" s="12"/>
      <c r="L6" s="12"/>
      <c r="M6" s="18"/>
      <c r="N6" s="59" t="s">
        <v>51</v>
      </c>
      <c r="O6" s="65">
        <f t="shared" ref="O6:O8" si="0">E6</f>
        <v>25.03</v>
      </c>
    </row>
    <row r="7" spans="1:19" ht="15.75" customHeight="1" x14ac:dyDescent="0.2">
      <c r="A7" s="2" t="s">
        <v>15</v>
      </c>
      <c r="B7" s="11"/>
      <c r="C7" s="11">
        <v>36.21</v>
      </c>
      <c r="D7" s="32">
        <v>30.38</v>
      </c>
      <c r="E7" s="11">
        <v>25.31</v>
      </c>
      <c r="F7" s="11">
        <v>56.4</v>
      </c>
      <c r="H7" s="64" t="s">
        <v>11</v>
      </c>
      <c r="I7" s="58" t="s">
        <v>51</v>
      </c>
      <c r="J7" s="60">
        <f>D6</f>
        <v>25.93</v>
      </c>
      <c r="K7" s="12"/>
      <c r="L7" s="15"/>
      <c r="M7" s="18"/>
      <c r="N7" s="59" t="s">
        <v>15</v>
      </c>
      <c r="O7" s="65">
        <f t="shared" si="0"/>
        <v>25.31</v>
      </c>
    </row>
    <row r="8" spans="1:19" ht="15.75" customHeight="1" x14ac:dyDescent="0.2">
      <c r="A8" s="2" t="s">
        <v>49</v>
      </c>
      <c r="B8" s="11">
        <v>31.45</v>
      </c>
      <c r="C8" s="11">
        <v>31.92</v>
      </c>
      <c r="D8" s="11">
        <v>29.89</v>
      </c>
      <c r="E8" s="11">
        <v>26.01</v>
      </c>
      <c r="F8" s="11">
        <v>55.98</v>
      </c>
      <c r="H8" s="64" t="s">
        <v>12</v>
      </c>
      <c r="I8" s="66" t="s">
        <v>15</v>
      </c>
      <c r="J8" s="62">
        <f>E7</f>
        <v>25.31</v>
      </c>
      <c r="K8" s="21"/>
      <c r="L8" s="25"/>
      <c r="M8" s="18"/>
      <c r="N8" s="61" t="s">
        <v>49</v>
      </c>
      <c r="O8" s="67">
        <f t="shared" si="0"/>
        <v>26.01</v>
      </c>
    </row>
    <row r="9" spans="1:19" ht="15.75" customHeight="1" x14ac:dyDescent="0.2">
      <c r="A9" s="2" t="s">
        <v>8</v>
      </c>
      <c r="B9" s="11"/>
      <c r="C9" s="11"/>
      <c r="D9" s="11">
        <v>30.73</v>
      </c>
      <c r="E9" s="11">
        <v>26.86</v>
      </c>
      <c r="F9" s="11">
        <v>60.49</v>
      </c>
      <c r="H9" s="64"/>
      <c r="I9" s="58" t="s">
        <v>30</v>
      </c>
      <c r="J9" s="63">
        <f>SUM(J5:J8)</f>
        <v>109.26</v>
      </c>
      <c r="K9" s="12"/>
      <c r="L9" s="15">
        <f>SUM(L5:L8)</f>
        <v>0</v>
      </c>
      <c r="M9" s="18"/>
      <c r="N9" s="58" t="s">
        <v>30</v>
      </c>
      <c r="O9" s="55">
        <f>SUM(O5:O8)</f>
        <v>101.25</v>
      </c>
    </row>
    <row r="10" spans="1:19" ht="15.75" customHeight="1" x14ac:dyDescent="0.2">
      <c r="A10" s="2" t="s">
        <v>46</v>
      </c>
      <c r="B10" s="11"/>
      <c r="C10" s="11">
        <v>37.35</v>
      </c>
      <c r="D10" s="11"/>
      <c r="E10" s="11">
        <v>27.4</v>
      </c>
      <c r="F10" s="11">
        <v>62.24</v>
      </c>
      <c r="H10" s="64"/>
      <c r="I10" s="58" t="s">
        <v>31</v>
      </c>
      <c r="J10" s="63">
        <f>J9-60</f>
        <v>49.260000000000005</v>
      </c>
      <c r="K10" s="12"/>
      <c r="L10" s="13">
        <f>L9-60</f>
        <v>-60</v>
      </c>
      <c r="M10" s="18"/>
      <c r="N10" s="58" t="s">
        <v>31</v>
      </c>
      <c r="O10" s="55">
        <f>O9-60</f>
        <v>41.25</v>
      </c>
    </row>
    <row r="11" spans="1:19" ht="15.75" customHeight="1" x14ac:dyDescent="0.2">
      <c r="A11" s="2" t="s">
        <v>14</v>
      </c>
      <c r="B11" s="11">
        <v>31.45</v>
      </c>
      <c r="C11" s="32">
        <v>36.520000000000003</v>
      </c>
      <c r="D11" s="11">
        <v>28.46</v>
      </c>
      <c r="E11" s="11">
        <v>27.41</v>
      </c>
      <c r="F11" s="32">
        <v>58.6</v>
      </c>
      <c r="H11" s="38" t="s">
        <v>18</v>
      </c>
      <c r="I11" s="39"/>
      <c r="J11" s="143"/>
      <c r="K11" s="39"/>
      <c r="L11" s="40"/>
      <c r="M11" s="42"/>
      <c r="N11" s="81" t="s">
        <v>24</v>
      </c>
      <c r="O11" s="98"/>
    </row>
    <row r="12" spans="1:19" ht="15.75" customHeight="1" x14ac:dyDescent="0.2">
      <c r="A12" s="2" t="s">
        <v>23</v>
      </c>
      <c r="B12" s="11"/>
      <c r="C12" s="11">
        <v>34.61</v>
      </c>
      <c r="D12" s="32">
        <v>30.37</v>
      </c>
      <c r="E12" s="11">
        <v>27.56</v>
      </c>
      <c r="F12" s="32">
        <v>64.92</v>
      </c>
      <c r="H12" s="12" t="s">
        <v>9</v>
      </c>
      <c r="I12" s="19" t="s">
        <v>28</v>
      </c>
      <c r="J12" s="44">
        <f>B13</f>
        <v>31.93</v>
      </c>
      <c r="K12" s="58" t="s">
        <v>16</v>
      </c>
      <c r="L12" s="63">
        <f>B14</f>
        <v>32.99</v>
      </c>
      <c r="M12" s="18"/>
      <c r="N12" s="59" t="s">
        <v>8</v>
      </c>
      <c r="O12" s="55">
        <f>E9</f>
        <v>26.86</v>
      </c>
    </row>
    <row r="13" spans="1:19" ht="15.75" customHeight="1" x14ac:dyDescent="0.2">
      <c r="A13" s="2" t="s">
        <v>28</v>
      </c>
      <c r="B13" s="11">
        <v>31.93</v>
      </c>
      <c r="C13" s="11"/>
      <c r="D13" s="32">
        <v>29.19</v>
      </c>
      <c r="E13" s="11">
        <v>28.19</v>
      </c>
      <c r="F13" s="11">
        <v>64.459999999999994</v>
      </c>
      <c r="H13" s="12" t="s">
        <v>10</v>
      </c>
      <c r="I13" s="19" t="s">
        <v>23</v>
      </c>
      <c r="J13" s="44">
        <f>C12</f>
        <v>34.61</v>
      </c>
      <c r="K13" s="58" t="s">
        <v>14</v>
      </c>
      <c r="L13" s="63">
        <f>C11</f>
        <v>36.520000000000003</v>
      </c>
      <c r="M13" s="18"/>
      <c r="N13" s="59" t="s">
        <v>14</v>
      </c>
      <c r="O13" s="55">
        <f>E11</f>
        <v>27.41</v>
      </c>
    </row>
    <row r="14" spans="1:19" ht="15.75" customHeight="1" x14ac:dyDescent="0.2">
      <c r="A14" s="2" t="s">
        <v>16</v>
      </c>
      <c r="B14" s="11">
        <v>32.99</v>
      </c>
      <c r="C14" s="11"/>
      <c r="D14" s="11"/>
      <c r="E14" s="11">
        <v>28.6</v>
      </c>
      <c r="F14" s="11">
        <v>64.89</v>
      </c>
      <c r="H14" s="12" t="s">
        <v>11</v>
      </c>
      <c r="I14" s="33" t="s">
        <v>14</v>
      </c>
      <c r="J14" s="44">
        <f>D11</f>
        <v>28.46</v>
      </c>
      <c r="K14" s="58" t="s">
        <v>28</v>
      </c>
      <c r="L14" s="60">
        <f>D13</f>
        <v>29.19</v>
      </c>
      <c r="M14" s="18"/>
      <c r="N14" s="59" t="s">
        <v>46</v>
      </c>
      <c r="O14" s="55">
        <f>E10</f>
        <v>27.4</v>
      </c>
    </row>
    <row r="15" spans="1:19" ht="15.75" customHeight="1" x14ac:dyDescent="0.2">
      <c r="A15" s="2" t="s">
        <v>109</v>
      </c>
      <c r="B15" s="11"/>
      <c r="C15" s="11"/>
      <c r="D15" s="11"/>
      <c r="E15" s="11">
        <v>28.82</v>
      </c>
      <c r="F15" s="11">
        <v>67.13</v>
      </c>
      <c r="H15" s="21" t="s">
        <v>12</v>
      </c>
      <c r="I15" s="24" t="s">
        <v>8</v>
      </c>
      <c r="J15" s="23">
        <f>E9</f>
        <v>26.86</v>
      </c>
      <c r="K15" s="66" t="s">
        <v>8</v>
      </c>
      <c r="L15" s="62">
        <f>E9</f>
        <v>26.86</v>
      </c>
      <c r="M15" s="18"/>
      <c r="N15" s="61" t="s">
        <v>28</v>
      </c>
      <c r="O15" s="71">
        <f>E13</f>
        <v>28.19</v>
      </c>
    </row>
    <row r="16" spans="1:19" ht="15.75" customHeight="1" x14ac:dyDescent="0.2">
      <c r="A16" s="2" t="s">
        <v>81</v>
      </c>
      <c r="B16" s="11"/>
      <c r="C16" s="11"/>
      <c r="D16" s="11"/>
      <c r="E16" s="11">
        <v>29</v>
      </c>
      <c r="F16" s="11">
        <v>67.59</v>
      </c>
      <c r="H16" s="12"/>
      <c r="I16" s="19" t="s">
        <v>30</v>
      </c>
      <c r="J16" s="44">
        <f>SUM(J12:J15)</f>
        <v>121.86</v>
      </c>
      <c r="K16" s="58" t="s">
        <v>30</v>
      </c>
      <c r="L16" s="60">
        <f>SUM(L12:L15)</f>
        <v>125.56</v>
      </c>
      <c r="M16" s="18"/>
      <c r="N16" s="58" t="s">
        <v>30</v>
      </c>
      <c r="O16" s="55">
        <f>SUM(O12:O15)</f>
        <v>109.85999999999999</v>
      </c>
    </row>
    <row r="17" spans="1:19" ht="15.75" customHeight="1" x14ac:dyDescent="0.2">
      <c r="A17" s="2" t="s">
        <v>82</v>
      </c>
      <c r="B17" s="11"/>
      <c r="C17" s="11"/>
      <c r="D17" s="11">
        <v>30.34</v>
      </c>
      <c r="E17" s="11">
        <v>29.29</v>
      </c>
      <c r="F17" s="11">
        <v>66.14</v>
      </c>
      <c r="H17" s="12"/>
      <c r="I17" s="19" t="s">
        <v>47</v>
      </c>
      <c r="J17" s="44">
        <f>J16-120</f>
        <v>1.8599999999999994</v>
      </c>
      <c r="K17" s="58" t="s">
        <v>47</v>
      </c>
      <c r="L17" s="63">
        <f>L16-120</f>
        <v>5.5600000000000023</v>
      </c>
      <c r="M17" s="18"/>
      <c r="N17" s="68" t="s">
        <v>31</v>
      </c>
      <c r="O17" s="55">
        <f>O16-60</f>
        <v>49.859999999999985</v>
      </c>
    </row>
    <row r="18" spans="1:19" ht="15.75" customHeight="1" x14ac:dyDescent="0.2">
      <c r="A18" s="2" t="s">
        <v>50</v>
      </c>
      <c r="B18" s="11">
        <v>34.479999999999997</v>
      </c>
      <c r="C18" s="11"/>
      <c r="D18" s="11"/>
      <c r="E18" s="11"/>
      <c r="F18" s="11"/>
    </row>
    <row r="19" spans="1:19" ht="15.75" customHeight="1" x14ac:dyDescent="0.2">
      <c r="A19" s="2" t="s">
        <v>118</v>
      </c>
      <c r="B19" s="11"/>
      <c r="C19" s="11">
        <v>36.75</v>
      </c>
      <c r="D19" s="11"/>
      <c r="E19" s="11"/>
      <c r="F19" s="11"/>
    </row>
    <row r="20" spans="1:19" ht="15.75" customHeight="1" x14ac:dyDescent="0.2">
      <c r="B20" s="1" t="s">
        <v>54</v>
      </c>
      <c r="S20" s="12"/>
    </row>
    <row r="21" spans="1:19" ht="15.75" customHeight="1" x14ac:dyDescent="0.2">
      <c r="S21" s="12"/>
    </row>
    <row r="22" spans="1:19" ht="15.75" customHeight="1" x14ac:dyDescent="0.2">
      <c r="A22" s="35"/>
      <c r="B22" s="35"/>
      <c r="C22" s="35"/>
      <c r="D22" s="35"/>
      <c r="E22" s="35"/>
      <c r="F22" s="35"/>
      <c r="G22" s="35"/>
      <c r="H22" s="18"/>
      <c r="I22" s="18"/>
      <c r="J22" s="36"/>
      <c r="K22" s="18"/>
      <c r="L22" s="37"/>
      <c r="M22" s="18"/>
      <c r="N22" s="18"/>
      <c r="O22" s="36"/>
      <c r="S22" s="12"/>
    </row>
    <row r="23" spans="1:19" ht="15.75" customHeight="1" x14ac:dyDescent="0.2">
      <c r="H23" s="12"/>
      <c r="I23" s="12"/>
      <c r="J23" s="27"/>
      <c r="K23" s="12"/>
      <c r="L23" s="13"/>
      <c r="M23" s="12"/>
      <c r="N23" s="12"/>
      <c r="O23" s="27"/>
      <c r="S23" s="12"/>
    </row>
    <row r="24" spans="1:19" ht="15.75" customHeight="1" x14ac:dyDescent="0.2">
      <c r="H24" s="58"/>
      <c r="I24" s="64"/>
      <c r="J24" s="80"/>
      <c r="K24" s="12"/>
      <c r="L24" s="13"/>
      <c r="M24" s="12"/>
      <c r="N24" s="12"/>
      <c r="O24" s="12"/>
      <c r="S24" s="12"/>
    </row>
    <row r="25" spans="1:19" ht="15.75" customHeight="1" x14ac:dyDescent="0.2">
      <c r="A25" s="1" t="s">
        <v>4</v>
      </c>
      <c r="B25" s="11">
        <v>0</v>
      </c>
      <c r="C25" s="7"/>
      <c r="D25" s="7">
        <v>0</v>
      </c>
      <c r="E25" s="94">
        <v>0</v>
      </c>
      <c r="F25" s="93">
        <v>0</v>
      </c>
      <c r="H25" s="58" t="s">
        <v>19</v>
      </c>
      <c r="I25" s="64"/>
      <c r="J25" s="101" t="s">
        <v>113</v>
      </c>
      <c r="K25" s="12"/>
      <c r="L25" s="13"/>
      <c r="M25" s="18"/>
      <c r="N25" s="58" t="s">
        <v>22</v>
      </c>
      <c r="O25" s="101" t="s">
        <v>115</v>
      </c>
      <c r="S25" s="12"/>
    </row>
    <row r="26" spans="1:19" ht="15.75" customHeight="1" x14ac:dyDescent="0.2">
      <c r="A26" s="2" t="s">
        <v>13</v>
      </c>
      <c r="B26" s="11">
        <v>25.17</v>
      </c>
      <c r="C26" s="11">
        <v>27.26</v>
      </c>
      <c r="D26" s="32">
        <v>23.61</v>
      </c>
      <c r="E26" s="95">
        <v>21.75</v>
      </c>
      <c r="F26" s="15">
        <v>47.16</v>
      </c>
      <c r="H26" s="64" t="s">
        <v>9</v>
      </c>
      <c r="I26" s="58" t="s">
        <v>35</v>
      </c>
      <c r="J26" s="60">
        <f>B29</f>
        <v>27.45</v>
      </c>
      <c r="K26" s="33" t="s">
        <v>21</v>
      </c>
      <c r="L26" s="13">
        <f>B28</f>
        <v>26.11</v>
      </c>
      <c r="M26" s="18"/>
      <c r="N26" s="59" t="s">
        <v>13</v>
      </c>
      <c r="O26" s="65">
        <f>E26</f>
        <v>21.75</v>
      </c>
      <c r="S26" s="12"/>
    </row>
    <row r="27" spans="1:19" ht="15.75" customHeight="1" x14ac:dyDescent="0.2">
      <c r="A27" s="2" t="s">
        <v>20</v>
      </c>
      <c r="B27" s="11"/>
      <c r="C27" s="11"/>
      <c r="D27" s="10">
        <v>28.07</v>
      </c>
      <c r="E27" s="95">
        <v>22.73</v>
      </c>
      <c r="F27" s="15">
        <v>53.75</v>
      </c>
      <c r="H27" s="64" t="s">
        <v>10</v>
      </c>
      <c r="I27" s="59" t="s">
        <v>13</v>
      </c>
      <c r="J27" s="60">
        <f>C26</f>
        <v>27.26</v>
      </c>
      <c r="K27" s="33" t="s">
        <v>13</v>
      </c>
      <c r="L27" s="13">
        <f>C26</f>
        <v>27.26</v>
      </c>
      <c r="M27" s="18"/>
      <c r="N27" s="59" t="s">
        <v>20</v>
      </c>
      <c r="O27" s="65">
        <f t="shared" ref="O27:O28" si="1">E27</f>
        <v>22.73</v>
      </c>
      <c r="S27" s="12"/>
    </row>
    <row r="28" spans="1:19" ht="15.75" customHeight="1" x14ac:dyDescent="0.2">
      <c r="A28" s="2" t="s">
        <v>21</v>
      </c>
      <c r="B28" s="11">
        <v>26.11</v>
      </c>
      <c r="C28" s="11"/>
      <c r="D28" s="10">
        <v>23.92</v>
      </c>
      <c r="E28" s="95">
        <v>23.46</v>
      </c>
      <c r="F28" s="15">
        <v>51.2</v>
      </c>
      <c r="H28" s="64" t="s">
        <v>11</v>
      </c>
      <c r="I28" s="59" t="s">
        <v>21</v>
      </c>
      <c r="J28" s="60">
        <f>D28</f>
        <v>23.92</v>
      </c>
      <c r="K28" s="33" t="s">
        <v>27</v>
      </c>
      <c r="L28" s="13">
        <f>D30</f>
        <v>27.42</v>
      </c>
      <c r="M28" s="18"/>
      <c r="N28" s="59" t="s">
        <v>21</v>
      </c>
      <c r="O28" s="65">
        <f t="shared" si="1"/>
        <v>23.46</v>
      </c>
      <c r="S28" s="12"/>
    </row>
    <row r="29" spans="1:19" ht="15.75" customHeight="1" x14ac:dyDescent="0.2">
      <c r="A29" s="2" t="s">
        <v>35</v>
      </c>
      <c r="B29" s="11">
        <v>27.45</v>
      </c>
      <c r="C29" s="32">
        <v>32.89</v>
      </c>
      <c r="D29" s="32">
        <v>27.5</v>
      </c>
      <c r="E29" s="95">
        <v>23.71</v>
      </c>
      <c r="F29" s="15">
        <v>56.92</v>
      </c>
      <c r="H29" s="84" t="s">
        <v>12</v>
      </c>
      <c r="I29" s="61" t="s">
        <v>20</v>
      </c>
      <c r="J29" s="62">
        <f>E27</f>
        <v>22.73</v>
      </c>
      <c r="K29" s="34" t="s">
        <v>20</v>
      </c>
      <c r="L29" s="22">
        <f>E27</f>
        <v>22.73</v>
      </c>
      <c r="M29" s="18"/>
      <c r="N29" s="61" t="s">
        <v>35</v>
      </c>
      <c r="O29" s="67">
        <f>E29</f>
        <v>23.71</v>
      </c>
      <c r="S29" s="12"/>
    </row>
    <row r="30" spans="1:19" ht="15.75" customHeight="1" x14ac:dyDescent="0.2">
      <c r="A30" s="2" t="s">
        <v>27</v>
      </c>
      <c r="B30" s="11">
        <v>29.06</v>
      </c>
      <c r="C30" s="11"/>
      <c r="D30" s="11">
        <v>27.42</v>
      </c>
      <c r="E30" s="95">
        <v>24.26</v>
      </c>
      <c r="F30" s="15">
        <v>56.6</v>
      </c>
      <c r="H30" s="64"/>
      <c r="I30" s="58" t="s">
        <v>30</v>
      </c>
      <c r="J30" s="63">
        <f>SUM(J26:J29)</f>
        <v>101.36</v>
      </c>
      <c r="K30" s="19" t="s">
        <v>30</v>
      </c>
      <c r="L30" s="13">
        <f>SUM(L26:L29)</f>
        <v>103.52000000000001</v>
      </c>
      <c r="M30" s="18"/>
      <c r="N30" s="58" t="s">
        <v>30</v>
      </c>
      <c r="O30" s="55">
        <f>SUM(O26:O29)</f>
        <v>91.65</v>
      </c>
      <c r="S30" s="12"/>
    </row>
    <row r="31" spans="1:19" ht="15.75" customHeight="1" x14ac:dyDescent="0.2">
      <c r="A31" s="2" t="s">
        <v>32</v>
      </c>
      <c r="B31" s="11"/>
      <c r="C31" s="11"/>
      <c r="D31" s="10">
        <v>28.37</v>
      </c>
      <c r="E31" s="95">
        <v>24.28</v>
      </c>
      <c r="F31" s="15">
        <v>53.15</v>
      </c>
      <c r="H31" s="64"/>
      <c r="I31" s="58" t="s">
        <v>31</v>
      </c>
      <c r="J31" s="63">
        <f>J30-60</f>
        <v>41.36</v>
      </c>
      <c r="K31" s="19" t="s">
        <v>31</v>
      </c>
      <c r="L31" s="13">
        <f>L30-60</f>
        <v>43.52000000000001</v>
      </c>
      <c r="M31" s="18"/>
      <c r="N31" s="58" t="s">
        <v>31</v>
      </c>
      <c r="O31" s="55">
        <f>O30-60</f>
        <v>31.650000000000006</v>
      </c>
      <c r="S31" s="12"/>
    </row>
    <row r="32" spans="1:19" ht="15.75" x14ac:dyDescent="0.2">
      <c r="A32" s="2" t="s">
        <v>26</v>
      </c>
      <c r="B32" s="11"/>
      <c r="C32" s="11">
        <v>31.66</v>
      </c>
      <c r="D32" s="10"/>
      <c r="E32" s="95">
        <v>24.42</v>
      </c>
      <c r="F32" s="15">
        <v>56.16</v>
      </c>
      <c r="H32" s="81" t="s">
        <v>18</v>
      </c>
      <c r="I32" s="97"/>
      <c r="J32" s="144"/>
      <c r="K32" s="41"/>
      <c r="L32" s="40"/>
      <c r="M32" s="42"/>
      <c r="N32" s="81" t="s">
        <v>24</v>
      </c>
      <c r="O32" s="82"/>
      <c r="S32" s="12"/>
    </row>
    <row r="33" spans="1:19" ht="15.75" x14ac:dyDescent="0.2">
      <c r="A33" s="2" t="s">
        <v>33</v>
      </c>
      <c r="B33" s="11">
        <v>28.11</v>
      </c>
      <c r="C33" s="11"/>
      <c r="D33" s="10">
        <v>28.98</v>
      </c>
      <c r="E33" s="95">
        <v>25.43</v>
      </c>
      <c r="F33" s="15">
        <v>55.42</v>
      </c>
      <c r="H33" s="58" t="s">
        <v>9</v>
      </c>
      <c r="I33" s="86" t="s">
        <v>33</v>
      </c>
      <c r="J33" s="63">
        <f>B33</f>
        <v>28.11</v>
      </c>
      <c r="K33" s="19" t="s">
        <v>27</v>
      </c>
      <c r="L33" s="13">
        <f>B30</f>
        <v>29.06</v>
      </c>
      <c r="M33" s="18"/>
      <c r="N33" s="58" t="str">
        <f>A30</f>
        <v>Jack Herwick</v>
      </c>
      <c r="O33" s="65">
        <f>E30</f>
        <v>24.26</v>
      </c>
      <c r="S33" s="12"/>
    </row>
    <row r="34" spans="1:19" ht="15.75" x14ac:dyDescent="0.2">
      <c r="A34" s="2" t="s">
        <v>89</v>
      </c>
      <c r="B34" s="11"/>
      <c r="C34" s="11"/>
      <c r="D34" s="29"/>
      <c r="E34" s="95">
        <v>26.11</v>
      </c>
      <c r="F34" s="15">
        <v>60.58</v>
      </c>
      <c r="H34" s="58" t="s">
        <v>10</v>
      </c>
      <c r="I34" s="86" t="s">
        <v>26</v>
      </c>
      <c r="J34" s="63">
        <f>C32</f>
        <v>31.66</v>
      </c>
      <c r="K34" s="19" t="s">
        <v>26</v>
      </c>
      <c r="L34" s="13">
        <f>C32</f>
        <v>31.66</v>
      </c>
      <c r="M34" s="18"/>
      <c r="N34" s="58" t="str">
        <f t="shared" ref="N34:N36" si="2">A31</f>
        <v>Michael Zahorchak</v>
      </c>
      <c r="O34" s="65">
        <f t="shared" ref="O34:O36" si="3">E31</f>
        <v>24.28</v>
      </c>
      <c r="S34" s="12"/>
    </row>
    <row r="35" spans="1:19" ht="15.75" x14ac:dyDescent="0.2">
      <c r="A35" s="2" t="s">
        <v>55</v>
      </c>
      <c r="B35" s="11"/>
      <c r="C35" s="32">
        <v>33.89</v>
      </c>
      <c r="D35" s="10">
        <v>28.45</v>
      </c>
      <c r="E35" s="95">
        <v>26.57</v>
      </c>
      <c r="F35" s="17"/>
      <c r="H35" s="58" t="s">
        <v>11</v>
      </c>
      <c r="I35" s="86" t="s">
        <v>27</v>
      </c>
      <c r="J35" s="63">
        <f>D30</f>
        <v>27.42</v>
      </c>
      <c r="K35" s="19" t="s">
        <v>35</v>
      </c>
      <c r="L35" s="13">
        <f>D29</f>
        <v>27.5</v>
      </c>
      <c r="M35" s="18"/>
      <c r="N35" s="58" t="str">
        <f t="shared" si="2"/>
        <v>Greg Bauer</v>
      </c>
      <c r="O35" s="65">
        <f t="shared" si="3"/>
        <v>24.42</v>
      </c>
      <c r="S35" s="12"/>
    </row>
    <row r="36" spans="1:19" ht="15.75" x14ac:dyDescent="0.2">
      <c r="A36" s="2" t="s">
        <v>53</v>
      </c>
      <c r="B36" s="11"/>
      <c r="C36" s="11">
        <v>33.31</v>
      </c>
      <c r="D36" s="29"/>
      <c r="E36" s="95">
        <v>26.76</v>
      </c>
      <c r="F36" s="15">
        <v>59.47</v>
      </c>
      <c r="H36" s="66" t="s">
        <v>12</v>
      </c>
      <c r="I36" s="77" t="s">
        <v>32</v>
      </c>
      <c r="J36" s="83">
        <f>E31</f>
        <v>24.28</v>
      </c>
      <c r="K36" s="24" t="s">
        <v>32</v>
      </c>
      <c r="L36" s="22">
        <f>E31</f>
        <v>24.28</v>
      </c>
      <c r="M36" s="18"/>
      <c r="N36" s="66" t="str">
        <f t="shared" si="2"/>
        <v>Patrick Kay</v>
      </c>
      <c r="O36" s="67">
        <f t="shared" si="3"/>
        <v>25.43</v>
      </c>
      <c r="S36" s="12"/>
    </row>
    <row r="37" spans="1:19" ht="15.75" x14ac:dyDescent="0.2">
      <c r="A37" s="2" t="s">
        <v>88</v>
      </c>
      <c r="B37" s="11">
        <v>33.729999999999997</v>
      </c>
      <c r="C37" s="11"/>
      <c r="D37" s="29">
        <v>29.52</v>
      </c>
      <c r="E37" s="95">
        <v>26.15</v>
      </c>
      <c r="F37" s="15">
        <v>58.95</v>
      </c>
      <c r="H37" s="58"/>
      <c r="I37" s="68" t="s">
        <v>30</v>
      </c>
      <c r="J37" s="63">
        <f>SUM(J33:J36)</f>
        <v>111.47</v>
      </c>
      <c r="K37" s="19" t="s">
        <v>30</v>
      </c>
      <c r="L37" s="13">
        <f>SUM(L33:L36)</f>
        <v>112.5</v>
      </c>
      <c r="M37" s="18"/>
      <c r="N37" s="58" t="s">
        <v>30</v>
      </c>
      <c r="O37" s="55">
        <f>SUM(O33:O36)</f>
        <v>98.390000000000015</v>
      </c>
      <c r="S37" s="12"/>
    </row>
    <row r="38" spans="1:19" ht="15.75" x14ac:dyDescent="0.2">
      <c r="A38" s="2" t="s">
        <v>136</v>
      </c>
      <c r="B38" s="11"/>
      <c r="C38" s="11"/>
      <c r="D38" s="29"/>
      <c r="E38" s="95">
        <v>26.93</v>
      </c>
      <c r="F38" s="15"/>
      <c r="H38" s="58"/>
      <c r="I38" s="68" t="s">
        <v>31</v>
      </c>
      <c r="J38" s="63">
        <f>J37-60</f>
        <v>51.47</v>
      </c>
      <c r="K38" s="19" t="s">
        <v>31</v>
      </c>
      <c r="L38" s="13">
        <f>L37-60</f>
        <v>52.5</v>
      </c>
      <c r="M38" s="18"/>
      <c r="N38" s="58" t="s">
        <v>31</v>
      </c>
      <c r="O38" s="55">
        <f>O37-60</f>
        <v>38.390000000000015</v>
      </c>
      <c r="S38" s="12"/>
    </row>
    <row r="39" spans="1:19" ht="15.75" x14ac:dyDescent="0.2">
      <c r="A39" s="2" t="s">
        <v>34</v>
      </c>
      <c r="B39" s="32">
        <v>30.28</v>
      </c>
      <c r="C39" s="11">
        <v>31.67</v>
      </c>
      <c r="D39" s="29">
        <v>28.65</v>
      </c>
      <c r="E39" s="95">
        <v>27.48</v>
      </c>
      <c r="F39" s="15">
        <v>59.69</v>
      </c>
      <c r="S39" s="12"/>
    </row>
    <row r="40" spans="1:19" ht="15.75" x14ac:dyDescent="0.2">
      <c r="A40" s="2" t="s">
        <v>94</v>
      </c>
      <c r="B40" s="11">
        <v>32.65</v>
      </c>
      <c r="C40" s="11"/>
      <c r="D40" s="29"/>
      <c r="E40" s="96"/>
      <c r="F40" s="15"/>
      <c r="S40" s="12"/>
    </row>
    <row r="41" spans="1:19" ht="15.75" x14ac:dyDescent="0.2">
      <c r="A41" s="2" t="s">
        <v>95</v>
      </c>
      <c r="B41" s="11">
        <v>31.47</v>
      </c>
      <c r="C41" s="11">
        <v>33.93</v>
      </c>
      <c r="D41" s="29"/>
      <c r="E41" s="96"/>
      <c r="F41" s="15">
        <v>60.04</v>
      </c>
      <c r="H41" s="12"/>
      <c r="I41" s="12"/>
      <c r="J41" s="12"/>
      <c r="K41" s="12"/>
      <c r="L41" s="12"/>
    </row>
    <row r="42" spans="1:19" ht="15.75" x14ac:dyDescent="0.2">
      <c r="H42" s="18"/>
      <c r="I42" s="14" t="s">
        <v>17</v>
      </c>
      <c r="J42" s="102" t="s">
        <v>111</v>
      </c>
      <c r="K42" s="12"/>
      <c r="L42" s="12"/>
    </row>
    <row r="43" spans="1:19" ht="15.75" x14ac:dyDescent="0.2">
      <c r="B43" s="45"/>
      <c r="H43" s="18"/>
      <c r="I43" s="1" t="s">
        <v>3</v>
      </c>
      <c r="J43" s="103">
        <f>F6</f>
        <v>53.98</v>
      </c>
      <c r="K43" s="2"/>
      <c r="L43" s="13"/>
    </row>
    <row r="44" spans="1:19" ht="15.75" x14ac:dyDescent="0.2">
      <c r="H44" s="18"/>
      <c r="I44" s="1" t="s">
        <v>48</v>
      </c>
      <c r="J44" s="103">
        <f>F5</f>
        <v>53.74</v>
      </c>
      <c r="K44" s="2"/>
      <c r="L44" s="13"/>
    </row>
    <row r="45" spans="1:19" ht="15.75" x14ac:dyDescent="0.2">
      <c r="H45" s="18"/>
      <c r="I45" s="1" t="s">
        <v>49</v>
      </c>
      <c r="J45" s="103">
        <f>F8</f>
        <v>55.98</v>
      </c>
      <c r="K45" s="2"/>
      <c r="L45" s="13"/>
    </row>
    <row r="46" spans="1:19" ht="15.75" x14ac:dyDescent="0.2">
      <c r="H46" s="18"/>
      <c r="I46" s="99" t="s">
        <v>15</v>
      </c>
      <c r="J46" s="104">
        <f>F7</f>
        <v>56.4</v>
      </c>
      <c r="K46" s="30"/>
      <c r="L46" s="22"/>
    </row>
    <row r="47" spans="1:19" ht="15.75" x14ac:dyDescent="0.2">
      <c r="H47" s="18"/>
      <c r="I47" s="14" t="s">
        <v>30</v>
      </c>
      <c r="J47" s="51">
        <f>SUM(J43:J46)</f>
        <v>220.1</v>
      </c>
      <c r="K47" s="12" t="s">
        <v>30</v>
      </c>
      <c r="L47" s="15">
        <f>SUM(L43:L46)</f>
        <v>0</v>
      </c>
    </row>
    <row r="48" spans="1:19" ht="15.75" x14ac:dyDescent="0.2">
      <c r="H48" s="18"/>
      <c r="I48" s="14" t="s">
        <v>29</v>
      </c>
      <c r="J48" s="51">
        <f>J47-180</f>
        <v>40.099999999999994</v>
      </c>
      <c r="K48" s="12" t="s">
        <v>29</v>
      </c>
      <c r="L48" s="13">
        <f>L47-180</f>
        <v>-180</v>
      </c>
    </row>
    <row r="49" spans="8:12" ht="15.75" x14ac:dyDescent="0.2">
      <c r="H49" s="42"/>
      <c r="I49" s="38" t="s">
        <v>25</v>
      </c>
      <c r="J49" s="56"/>
      <c r="K49" s="12"/>
      <c r="L49" s="12"/>
    </row>
    <row r="50" spans="8:12" ht="15.75" x14ac:dyDescent="0.2">
      <c r="H50" s="18"/>
      <c r="I50" s="1" t="s">
        <v>14</v>
      </c>
      <c r="J50" s="103">
        <f>F11</f>
        <v>58.6</v>
      </c>
      <c r="K50" s="12"/>
      <c r="L50" s="12"/>
    </row>
    <row r="51" spans="8:12" ht="15.75" x14ac:dyDescent="0.2">
      <c r="H51" s="18"/>
      <c r="I51" s="1" t="s">
        <v>8</v>
      </c>
      <c r="J51" s="103">
        <f>F9</f>
        <v>60.49</v>
      </c>
      <c r="K51" s="2"/>
      <c r="L51" s="13"/>
    </row>
    <row r="52" spans="8:12" ht="15.75" x14ac:dyDescent="0.2">
      <c r="H52" s="18"/>
      <c r="I52" s="1" t="s">
        <v>46</v>
      </c>
      <c r="J52" s="103">
        <f>F10</f>
        <v>62.24</v>
      </c>
      <c r="K52" s="2"/>
      <c r="L52" s="13"/>
    </row>
    <row r="53" spans="8:12" ht="15.75" x14ac:dyDescent="0.2">
      <c r="H53" s="18"/>
      <c r="I53" s="99" t="s">
        <v>28</v>
      </c>
      <c r="J53" s="104">
        <f>F13</f>
        <v>64.459999999999994</v>
      </c>
      <c r="K53" s="34"/>
      <c r="L53" s="22"/>
    </row>
    <row r="54" spans="8:12" ht="15.75" x14ac:dyDescent="0.2">
      <c r="H54" s="18"/>
      <c r="I54" s="14" t="s">
        <v>30</v>
      </c>
      <c r="J54" s="51">
        <f>SUM(J50:J53)</f>
        <v>245.79000000000002</v>
      </c>
      <c r="K54" s="19" t="s">
        <v>30</v>
      </c>
      <c r="L54" s="13">
        <f>SUM(L50:L53)</f>
        <v>0</v>
      </c>
    </row>
    <row r="55" spans="8:12" ht="15.75" x14ac:dyDescent="0.2">
      <c r="H55" s="18"/>
      <c r="I55" s="14" t="s">
        <v>45</v>
      </c>
      <c r="J55" s="51">
        <f>J54-240</f>
        <v>5.7900000000000205</v>
      </c>
      <c r="K55" s="19" t="s">
        <v>45</v>
      </c>
      <c r="L55" s="13">
        <f>L54-240</f>
        <v>-240</v>
      </c>
    </row>
    <row r="56" spans="8:12" ht="15.75" x14ac:dyDescent="0.2">
      <c r="H56" s="18"/>
      <c r="I56" s="18"/>
      <c r="J56" s="18"/>
      <c r="K56" s="18"/>
      <c r="L56" s="18"/>
    </row>
    <row r="57" spans="8:12" ht="15.75" x14ac:dyDescent="0.2">
      <c r="H57" s="18"/>
      <c r="I57" s="14" t="s">
        <v>17</v>
      </c>
      <c r="J57" s="102" t="s">
        <v>116</v>
      </c>
      <c r="K57" s="12"/>
      <c r="L57" s="12"/>
    </row>
    <row r="58" spans="8:12" ht="15.75" x14ac:dyDescent="0.2">
      <c r="H58" s="18"/>
      <c r="I58" s="1" t="s">
        <v>13</v>
      </c>
      <c r="J58" s="103">
        <f>F26</f>
        <v>47.16</v>
      </c>
      <c r="K58" s="19"/>
      <c r="L58" s="12"/>
    </row>
    <row r="59" spans="8:12" ht="15.75" x14ac:dyDescent="0.2">
      <c r="H59" s="18"/>
      <c r="I59" s="1" t="s">
        <v>21</v>
      </c>
      <c r="J59" s="103">
        <f>F28</f>
        <v>51.2</v>
      </c>
      <c r="K59" s="19"/>
      <c r="L59" s="12"/>
    </row>
    <row r="60" spans="8:12" ht="15.75" x14ac:dyDescent="0.2">
      <c r="H60" s="18"/>
      <c r="I60" s="1" t="s">
        <v>32</v>
      </c>
      <c r="J60" s="103">
        <f>F31</f>
        <v>53.15</v>
      </c>
      <c r="K60" s="19"/>
      <c r="L60" s="15"/>
    </row>
    <row r="61" spans="8:12" ht="15.75" x14ac:dyDescent="0.2">
      <c r="H61" s="18"/>
      <c r="I61" s="99" t="s">
        <v>20</v>
      </c>
      <c r="J61" s="104">
        <f>F27</f>
        <v>53.75</v>
      </c>
      <c r="K61" s="24"/>
      <c r="L61" s="25"/>
    </row>
    <row r="62" spans="8:12" ht="15.75" x14ac:dyDescent="0.2">
      <c r="H62" s="18"/>
      <c r="I62" s="14" t="s">
        <v>30</v>
      </c>
      <c r="J62" s="51">
        <f>SUM(J58:J61)</f>
        <v>205.26</v>
      </c>
      <c r="K62" s="19" t="s">
        <v>30</v>
      </c>
      <c r="L62" s="13">
        <f>SUM(L58:L61)</f>
        <v>0</v>
      </c>
    </row>
    <row r="63" spans="8:12" ht="15.75" x14ac:dyDescent="0.2">
      <c r="H63" s="18"/>
      <c r="I63" s="14" t="s">
        <v>29</v>
      </c>
      <c r="J63" s="51">
        <f>J62-180</f>
        <v>25.259999999999991</v>
      </c>
      <c r="K63" s="24" t="s">
        <v>29</v>
      </c>
      <c r="L63" s="89">
        <f>L62-180</f>
        <v>-180</v>
      </c>
    </row>
    <row r="64" spans="8:12" ht="15.75" x14ac:dyDescent="0.2">
      <c r="H64" s="42"/>
      <c r="I64" s="38" t="s">
        <v>25</v>
      </c>
      <c r="J64" s="56"/>
      <c r="K64" s="43" t="s">
        <v>25</v>
      </c>
      <c r="L64" s="39"/>
    </row>
    <row r="65" spans="8:12" ht="15.75" x14ac:dyDescent="0.2">
      <c r="H65" s="18"/>
      <c r="I65" s="1" t="s">
        <v>33</v>
      </c>
      <c r="J65" s="103">
        <f>F33</f>
        <v>55.42</v>
      </c>
      <c r="K65" s="19"/>
      <c r="L65" s="12"/>
    </row>
    <row r="66" spans="8:12" ht="15.75" x14ac:dyDescent="0.2">
      <c r="H66" s="18"/>
      <c r="I66" s="1" t="s">
        <v>26</v>
      </c>
      <c r="J66" s="103">
        <f>F32</f>
        <v>56.16</v>
      </c>
      <c r="K66" s="19"/>
      <c r="L66" s="12"/>
    </row>
    <row r="67" spans="8:12" ht="15.75" x14ac:dyDescent="0.2">
      <c r="H67" s="18"/>
      <c r="I67" s="1" t="s">
        <v>27</v>
      </c>
      <c r="J67" s="103">
        <f>F30</f>
        <v>56.6</v>
      </c>
      <c r="K67" s="19"/>
      <c r="L67" s="15"/>
    </row>
    <row r="68" spans="8:12" ht="15.75" x14ac:dyDescent="0.2">
      <c r="H68" s="18"/>
      <c r="I68" s="99" t="s">
        <v>35</v>
      </c>
      <c r="J68" s="104">
        <f>F29</f>
        <v>56.92</v>
      </c>
      <c r="K68" s="24"/>
      <c r="L68" s="25"/>
    </row>
    <row r="69" spans="8:12" ht="15.75" x14ac:dyDescent="0.2">
      <c r="H69" s="18"/>
      <c r="I69" s="14" t="s">
        <v>30</v>
      </c>
      <c r="J69" s="51">
        <f>SUM(J65:J68)</f>
        <v>225.10000000000002</v>
      </c>
      <c r="K69" s="20" t="s">
        <v>30</v>
      </c>
      <c r="L69" s="16">
        <f>SUM(L65:L68)</f>
        <v>0</v>
      </c>
    </row>
    <row r="70" spans="8:12" ht="15.75" x14ac:dyDescent="0.2">
      <c r="H70" s="18"/>
      <c r="I70" s="14" t="s">
        <v>29</v>
      </c>
      <c r="J70" s="51">
        <f>J69-180</f>
        <v>45.100000000000023</v>
      </c>
      <c r="K70" s="20" t="s">
        <v>29</v>
      </c>
      <c r="L70" s="16">
        <f>L69-180</f>
        <v>-180</v>
      </c>
    </row>
  </sheetData>
  <autoFilter ref="A3:F3" xr:uid="{C58814CE-708D-4CDB-93DD-2EA18668DC56}"/>
  <sortState xmlns:xlrd2="http://schemas.microsoft.com/office/spreadsheetml/2017/richdata2" ref="A92:F107">
    <sortCondition ref="F92:F107"/>
  </sortState>
  <conditionalFormatting sqref="B34:E38">
    <cfRule type="cellIs" dxfId="61" priority="15" operator="equal">
      <formula>0</formula>
    </cfRule>
  </conditionalFormatting>
  <conditionalFormatting sqref="B40:E41">
    <cfRule type="cellIs" dxfId="60" priority="28" operator="equal">
      <formula>0</formula>
    </cfRule>
  </conditionalFormatting>
  <conditionalFormatting sqref="B4:F19">
    <cfRule type="cellIs" dxfId="59" priority="16" operator="equal">
      <formula>0</formula>
    </cfRule>
  </conditionalFormatting>
  <conditionalFormatting sqref="B25:F33">
    <cfRule type="cellIs" dxfId="58" priority="26" operator="equal">
      <formula>0</formula>
    </cfRule>
  </conditionalFormatting>
  <conditionalFormatting sqref="B39:F39">
    <cfRule type="cellIs" dxfId="57" priority="27" operator="equal">
      <formula>0</formula>
    </cfRule>
  </conditionalFormatting>
  <conditionalFormatting sqref="J5:J8 L7:L9">
    <cfRule type="cellIs" dxfId="56" priority="43" operator="equal">
      <formula>0</formula>
    </cfRule>
  </conditionalFormatting>
  <conditionalFormatting sqref="J22:J24">
    <cfRule type="cellIs" dxfId="55" priority="42" operator="equal">
      <formula>0</formula>
    </cfRule>
  </conditionalFormatting>
  <conditionalFormatting sqref="J26:J29">
    <cfRule type="cellIs" dxfId="54" priority="41" operator="equal">
      <formula>0</formula>
    </cfRule>
  </conditionalFormatting>
  <conditionalFormatting sqref="J43:J46">
    <cfRule type="cellIs" dxfId="53" priority="36" operator="equal">
      <formula>0</formula>
    </cfRule>
  </conditionalFormatting>
  <conditionalFormatting sqref="J50:J53">
    <cfRule type="cellIs" dxfId="52" priority="11" operator="equal">
      <formula>0</formula>
    </cfRule>
  </conditionalFormatting>
  <conditionalFormatting sqref="J58:J61">
    <cfRule type="cellIs" dxfId="51" priority="2" operator="equal">
      <formula>0</formula>
    </cfRule>
  </conditionalFormatting>
  <conditionalFormatting sqref="J65:J68">
    <cfRule type="cellIs" dxfId="50" priority="1" operator="equal">
      <formula>0</formula>
    </cfRule>
  </conditionalFormatting>
  <conditionalFormatting sqref="L14:L16">
    <cfRule type="cellIs" dxfId="49" priority="20" operator="equal">
      <formula>0</formula>
    </cfRule>
  </conditionalFormatting>
  <conditionalFormatting sqref="L47">
    <cfRule type="cellIs" dxfId="48" priority="34" operator="equal">
      <formula>0</formula>
    </cfRule>
  </conditionalFormatting>
  <conditionalFormatting sqref="L60:L61">
    <cfRule type="cellIs" dxfId="47" priority="35" operator="equal">
      <formula>0</formula>
    </cfRule>
  </conditionalFormatting>
  <conditionalFormatting sqref="L67:L68">
    <cfRule type="cellIs" dxfId="46" priority="18" operator="equal">
      <formula>0</formula>
    </cfRule>
  </conditionalFormatting>
  <conditionalFormatting sqref="O5:O8">
    <cfRule type="cellIs" dxfId="45" priority="40" operator="equal">
      <formula>0</formula>
    </cfRule>
  </conditionalFormatting>
  <conditionalFormatting sqref="O22:O23">
    <cfRule type="cellIs" dxfId="44" priority="39" operator="equal">
      <formula>0</formula>
    </cfRule>
  </conditionalFormatting>
  <conditionalFormatting sqref="O26:O29">
    <cfRule type="cellIs" dxfId="43" priority="38" operator="equal">
      <formula>0</formula>
    </cfRule>
  </conditionalFormatting>
  <conditionalFormatting sqref="O33:O36">
    <cfRule type="cellIs" dxfId="42" priority="19" operator="equal">
      <formula>0</formula>
    </cfRule>
  </conditionalFormatting>
  <pageMargins left="0.2" right="0.2" top="0.75" bottom="0.75" header="0.3" footer="0.3"/>
  <pageSetup scale="7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2C192-6238-4B6E-AC95-5BF526E42241}">
  <sheetPr>
    <pageSetUpPr fitToPage="1"/>
  </sheetPr>
  <dimension ref="A1:AC70"/>
  <sheetViews>
    <sheetView tabSelected="1" topLeftCell="A29" zoomScaleNormal="100" workbookViewId="0">
      <selection activeCell="N60" sqref="N60"/>
    </sheetView>
  </sheetViews>
  <sheetFormatPr defaultRowHeight="12.75" x14ac:dyDescent="0.2"/>
  <cols>
    <col min="1" max="1" width="21.140625" style="5" customWidth="1"/>
    <col min="2" max="4" width="11" style="5" customWidth="1"/>
    <col min="5" max="5" width="11.42578125" style="5" customWidth="1"/>
    <col min="6" max="6" width="11" style="5" customWidth="1"/>
    <col min="7" max="8" width="9.140625" style="5"/>
    <col min="9" max="9" width="18.85546875" style="5" bestFit="1" customWidth="1"/>
    <col min="10" max="10" width="11.5703125" style="5" bestFit="1" customWidth="1"/>
    <col min="11" max="11" width="19.28515625" style="5" customWidth="1"/>
    <col min="12" max="12" width="11.5703125" style="5" bestFit="1" customWidth="1"/>
    <col min="13" max="13" width="19.7109375" style="5" customWidth="1"/>
    <col min="14" max="14" width="11.5703125" style="5" bestFit="1" customWidth="1"/>
    <col min="15" max="15" width="3.7109375" style="5" customWidth="1"/>
    <col min="16" max="16" width="20.7109375" style="5" bestFit="1" customWidth="1"/>
    <col min="17" max="17" width="9.140625" style="5"/>
    <col min="18" max="18" width="19.7109375" style="5" customWidth="1"/>
    <col min="19" max="19" width="9.140625" style="5"/>
    <col min="20" max="21" width="0" style="5" hidden="1" customWidth="1"/>
    <col min="22" max="22" width="16.42578125" style="5" bestFit="1" customWidth="1"/>
    <col min="23" max="23" width="9.140625" style="5"/>
    <col min="24" max="24" width="3.7109375" style="5" customWidth="1"/>
    <col min="25" max="25" width="20.7109375" style="5" bestFit="1" customWidth="1"/>
    <col min="26" max="26" width="11.28515625" style="5" customWidth="1"/>
    <col min="27" max="27" width="16" style="5" customWidth="1"/>
    <col min="28" max="28" width="12" style="5" customWidth="1"/>
    <col min="29" max="29" width="11.42578125" style="5" customWidth="1"/>
    <col min="30" max="237" width="9.140625" style="5"/>
    <col min="238" max="238" width="21.140625" style="5" customWidth="1"/>
    <col min="239" max="239" width="11" style="5" customWidth="1"/>
    <col min="240" max="240" width="9" style="5" customWidth="1"/>
    <col min="241" max="241" width="0.7109375" style="5" customWidth="1"/>
    <col min="242" max="242" width="11" style="5" customWidth="1"/>
    <col min="243" max="243" width="9.140625" style="5"/>
    <col min="244" max="244" width="0.7109375" style="5" customWidth="1"/>
    <col min="245" max="245" width="11" style="5" customWidth="1"/>
    <col min="246" max="246" width="9.140625" style="5"/>
    <col min="247" max="247" width="0.7109375" style="5" customWidth="1"/>
    <col min="248" max="248" width="16.42578125" style="5" customWidth="1"/>
    <col min="249" max="249" width="9.140625" style="5"/>
    <col min="250" max="250" width="0.7109375" style="5" customWidth="1"/>
    <col min="251" max="251" width="11" style="5" customWidth="1"/>
    <col min="252" max="252" width="9.140625" style="5"/>
    <col min="253" max="253" width="0.7109375" style="5" customWidth="1"/>
    <col min="254" max="254" width="11" style="5" customWidth="1"/>
    <col min="255" max="255" width="9.140625" style="5"/>
    <col min="256" max="256" width="0.7109375" style="5" customWidth="1"/>
    <col min="257" max="257" width="11" style="5" customWidth="1"/>
    <col min="258" max="258" width="9.140625" style="5"/>
    <col min="259" max="259" width="0.7109375" style="5" customWidth="1"/>
    <col min="260" max="260" width="11" style="5" customWidth="1"/>
    <col min="261" max="261" width="9.140625" style="5"/>
    <col min="262" max="262" width="0.7109375" style="5" customWidth="1"/>
    <col min="263" max="263" width="11" style="5" customWidth="1"/>
    <col min="264" max="493" width="9.140625" style="5"/>
    <col min="494" max="494" width="21.140625" style="5" customWidth="1"/>
    <col min="495" max="495" width="11" style="5" customWidth="1"/>
    <col min="496" max="496" width="9" style="5" customWidth="1"/>
    <col min="497" max="497" width="0.7109375" style="5" customWidth="1"/>
    <col min="498" max="498" width="11" style="5" customWidth="1"/>
    <col min="499" max="499" width="9.140625" style="5"/>
    <col min="500" max="500" width="0.7109375" style="5" customWidth="1"/>
    <col min="501" max="501" width="11" style="5" customWidth="1"/>
    <col min="502" max="502" width="9.140625" style="5"/>
    <col min="503" max="503" width="0.7109375" style="5" customWidth="1"/>
    <col min="504" max="504" width="16.42578125" style="5" customWidth="1"/>
    <col min="505" max="505" width="9.140625" style="5"/>
    <col min="506" max="506" width="0.7109375" style="5" customWidth="1"/>
    <col min="507" max="507" width="11" style="5" customWidth="1"/>
    <col min="508" max="508" width="9.140625" style="5"/>
    <col min="509" max="509" width="0.7109375" style="5" customWidth="1"/>
    <col min="510" max="510" width="11" style="5" customWidth="1"/>
    <col min="511" max="511" width="9.140625" style="5"/>
    <col min="512" max="512" width="0.7109375" style="5" customWidth="1"/>
    <col min="513" max="513" width="11" style="5" customWidth="1"/>
    <col min="514" max="514" width="9.140625" style="5"/>
    <col min="515" max="515" width="0.7109375" style="5" customWidth="1"/>
    <col min="516" max="516" width="11" style="5" customWidth="1"/>
    <col min="517" max="517" width="9.140625" style="5"/>
    <col min="518" max="518" width="0.7109375" style="5" customWidth="1"/>
    <col min="519" max="519" width="11" style="5" customWidth="1"/>
    <col min="520" max="749" width="9.140625" style="5"/>
    <col min="750" max="750" width="21.140625" style="5" customWidth="1"/>
    <col min="751" max="751" width="11" style="5" customWidth="1"/>
    <col min="752" max="752" width="9" style="5" customWidth="1"/>
    <col min="753" max="753" width="0.7109375" style="5" customWidth="1"/>
    <col min="754" max="754" width="11" style="5" customWidth="1"/>
    <col min="755" max="755" width="9.140625" style="5"/>
    <col min="756" max="756" width="0.7109375" style="5" customWidth="1"/>
    <col min="757" max="757" width="11" style="5" customWidth="1"/>
    <col min="758" max="758" width="9.140625" style="5"/>
    <col min="759" max="759" width="0.7109375" style="5" customWidth="1"/>
    <col min="760" max="760" width="16.42578125" style="5" customWidth="1"/>
    <col min="761" max="761" width="9.140625" style="5"/>
    <col min="762" max="762" width="0.7109375" style="5" customWidth="1"/>
    <col min="763" max="763" width="11" style="5" customWidth="1"/>
    <col min="764" max="764" width="9.140625" style="5"/>
    <col min="765" max="765" width="0.7109375" style="5" customWidth="1"/>
    <col min="766" max="766" width="11" style="5" customWidth="1"/>
    <col min="767" max="767" width="9.140625" style="5"/>
    <col min="768" max="768" width="0.7109375" style="5" customWidth="1"/>
    <col min="769" max="769" width="11" style="5" customWidth="1"/>
    <col min="770" max="770" width="9.140625" style="5"/>
    <col min="771" max="771" width="0.7109375" style="5" customWidth="1"/>
    <col min="772" max="772" width="11" style="5" customWidth="1"/>
    <col min="773" max="773" width="9.140625" style="5"/>
    <col min="774" max="774" width="0.7109375" style="5" customWidth="1"/>
    <col min="775" max="775" width="11" style="5" customWidth="1"/>
    <col min="776" max="1005" width="9.140625" style="5"/>
    <col min="1006" max="1006" width="21.140625" style="5" customWidth="1"/>
    <col min="1007" max="1007" width="11" style="5" customWidth="1"/>
    <col min="1008" max="1008" width="9" style="5" customWidth="1"/>
    <col min="1009" max="1009" width="0.7109375" style="5" customWidth="1"/>
    <col min="1010" max="1010" width="11" style="5" customWidth="1"/>
    <col min="1011" max="1011" width="9.140625" style="5"/>
    <col min="1012" max="1012" width="0.7109375" style="5" customWidth="1"/>
    <col min="1013" max="1013" width="11" style="5" customWidth="1"/>
    <col min="1014" max="1014" width="9.140625" style="5"/>
    <col min="1015" max="1015" width="0.7109375" style="5" customWidth="1"/>
    <col min="1016" max="1016" width="16.42578125" style="5" customWidth="1"/>
    <col min="1017" max="1017" width="9.140625" style="5"/>
    <col min="1018" max="1018" width="0.7109375" style="5" customWidth="1"/>
    <col min="1019" max="1019" width="11" style="5" customWidth="1"/>
    <col min="1020" max="1020" width="9.140625" style="5"/>
    <col min="1021" max="1021" width="0.7109375" style="5" customWidth="1"/>
    <col min="1022" max="1022" width="11" style="5" customWidth="1"/>
    <col min="1023" max="1023" width="9.140625" style="5"/>
    <col min="1024" max="1024" width="0.7109375" style="5" customWidth="1"/>
    <col min="1025" max="1025" width="11" style="5" customWidth="1"/>
    <col min="1026" max="1026" width="9.140625" style="5"/>
    <col min="1027" max="1027" width="0.7109375" style="5" customWidth="1"/>
    <col min="1028" max="1028" width="11" style="5" customWidth="1"/>
    <col min="1029" max="1029" width="9.140625" style="5"/>
    <col min="1030" max="1030" width="0.7109375" style="5" customWidth="1"/>
    <col min="1031" max="1031" width="11" style="5" customWidth="1"/>
    <col min="1032" max="1261" width="9.140625" style="5"/>
    <col min="1262" max="1262" width="21.140625" style="5" customWidth="1"/>
    <col min="1263" max="1263" width="11" style="5" customWidth="1"/>
    <col min="1264" max="1264" width="9" style="5" customWidth="1"/>
    <col min="1265" max="1265" width="0.7109375" style="5" customWidth="1"/>
    <col min="1266" max="1266" width="11" style="5" customWidth="1"/>
    <col min="1267" max="1267" width="9.140625" style="5"/>
    <col min="1268" max="1268" width="0.7109375" style="5" customWidth="1"/>
    <col min="1269" max="1269" width="11" style="5" customWidth="1"/>
    <col min="1270" max="1270" width="9.140625" style="5"/>
    <col min="1271" max="1271" width="0.7109375" style="5" customWidth="1"/>
    <col min="1272" max="1272" width="16.42578125" style="5" customWidth="1"/>
    <col min="1273" max="1273" width="9.140625" style="5"/>
    <col min="1274" max="1274" width="0.7109375" style="5" customWidth="1"/>
    <col min="1275" max="1275" width="11" style="5" customWidth="1"/>
    <col min="1276" max="1276" width="9.140625" style="5"/>
    <col min="1277" max="1277" width="0.7109375" style="5" customWidth="1"/>
    <col min="1278" max="1278" width="11" style="5" customWidth="1"/>
    <col min="1279" max="1279" width="9.140625" style="5"/>
    <col min="1280" max="1280" width="0.7109375" style="5" customWidth="1"/>
    <col min="1281" max="1281" width="11" style="5" customWidth="1"/>
    <col min="1282" max="1282" width="9.140625" style="5"/>
    <col min="1283" max="1283" width="0.7109375" style="5" customWidth="1"/>
    <col min="1284" max="1284" width="11" style="5" customWidth="1"/>
    <col min="1285" max="1285" width="9.140625" style="5"/>
    <col min="1286" max="1286" width="0.7109375" style="5" customWidth="1"/>
    <col min="1287" max="1287" width="11" style="5" customWidth="1"/>
    <col min="1288" max="1517" width="9.140625" style="5"/>
    <col min="1518" max="1518" width="21.140625" style="5" customWidth="1"/>
    <col min="1519" max="1519" width="11" style="5" customWidth="1"/>
    <col min="1520" max="1520" width="9" style="5" customWidth="1"/>
    <col min="1521" max="1521" width="0.7109375" style="5" customWidth="1"/>
    <col min="1522" max="1522" width="11" style="5" customWidth="1"/>
    <col min="1523" max="1523" width="9.140625" style="5"/>
    <col min="1524" max="1524" width="0.7109375" style="5" customWidth="1"/>
    <col min="1525" max="1525" width="11" style="5" customWidth="1"/>
    <col min="1526" max="1526" width="9.140625" style="5"/>
    <col min="1527" max="1527" width="0.7109375" style="5" customWidth="1"/>
    <col min="1528" max="1528" width="16.42578125" style="5" customWidth="1"/>
    <col min="1529" max="1529" width="9.140625" style="5"/>
    <col min="1530" max="1530" width="0.7109375" style="5" customWidth="1"/>
    <col min="1531" max="1531" width="11" style="5" customWidth="1"/>
    <col min="1532" max="1532" width="9.140625" style="5"/>
    <col min="1533" max="1533" width="0.7109375" style="5" customWidth="1"/>
    <col min="1534" max="1534" width="11" style="5" customWidth="1"/>
    <col min="1535" max="1535" width="9.140625" style="5"/>
    <col min="1536" max="1536" width="0.7109375" style="5" customWidth="1"/>
    <col min="1537" max="1537" width="11" style="5" customWidth="1"/>
    <col min="1538" max="1538" width="9.140625" style="5"/>
    <col min="1539" max="1539" width="0.7109375" style="5" customWidth="1"/>
    <col min="1540" max="1540" width="11" style="5" customWidth="1"/>
    <col min="1541" max="1541" width="9.140625" style="5"/>
    <col min="1542" max="1542" width="0.7109375" style="5" customWidth="1"/>
    <col min="1543" max="1543" width="11" style="5" customWidth="1"/>
    <col min="1544" max="1773" width="9.140625" style="5"/>
    <col min="1774" max="1774" width="21.140625" style="5" customWidth="1"/>
    <col min="1775" max="1775" width="11" style="5" customWidth="1"/>
    <col min="1776" max="1776" width="9" style="5" customWidth="1"/>
    <col min="1777" max="1777" width="0.7109375" style="5" customWidth="1"/>
    <col min="1778" max="1778" width="11" style="5" customWidth="1"/>
    <col min="1779" max="1779" width="9.140625" style="5"/>
    <col min="1780" max="1780" width="0.7109375" style="5" customWidth="1"/>
    <col min="1781" max="1781" width="11" style="5" customWidth="1"/>
    <col min="1782" max="1782" width="9.140625" style="5"/>
    <col min="1783" max="1783" width="0.7109375" style="5" customWidth="1"/>
    <col min="1784" max="1784" width="16.42578125" style="5" customWidth="1"/>
    <col min="1785" max="1785" width="9.140625" style="5"/>
    <col min="1786" max="1786" width="0.7109375" style="5" customWidth="1"/>
    <col min="1787" max="1787" width="11" style="5" customWidth="1"/>
    <col min="1788" max="1788" width="9.140625" style="5"/>
    <col min="1789" max="1789" width="0.7109375" style="5" customWidth="1"/>
    <col min="1790" max="1790" width="11" style="5" customWidth="1"/>
    <col min="1791" max="1791" width="9.140625" style="5"/>
    <col min="1792" max="1792" width="0.7109375" style="5" customWidth="1"/>
    <col min="1793" max="1793" width="11" style="5" customWidth="1"/>
    <col min="1794" max="1794" width="9.140625" style="5"/>
    <col min="1795" max="1795" width="0.7109375" style="5" customWidth="1"/>
    <col min="1796" max="1796" width="11" style="5" customWidth="1"/>
    <col min="1797" max="1797" width="9.140625" style="5"/>
    <col min="1798" max="1798" width="0.7109375" style="5" customWidth="1"/>
    <col min="1799" max="1799" width="11" style="5" customWidth="1"/>
    <col min="1800" max="2029" width="9.140625" style="5"/>
    <col min="2030" max="2030" width="21.140625" style="5" customWidth="1"/>
    <col min="2031" max="2031" width="11" style="5" customWidth="1"/>
    <col min="2032" max="2032" width="9" style="5" customWidth="1"/>
    <col min="2033" max="2033" width="0.7109375" style="5" customWidth="1"/>
    <col min="2034" max="2034" width="11" style="5" customWidth="1"/>
    <col min="2035" max="2035" width="9.140625" style="5"/>
    <col min="2036" max="2036" width="0.7109375" style="5" customWidth="1"/>
    <col min="2037" max="2037" width="11" style="5" customWidth="1"/>
    <col min="2038" max="2038" width="9.140625" style="5"/>
    <col min="2039" max="2039" width="0.7109375" style="5" customWidth="1"/>
    <col min="2040" max="2040" width="16.42578125" style="5" customWidth="1"/>
    <col min="2041" max="2041" width="9.140625" style="5"/>
    <col min="2042" max="2042" width="0.7109375" style="5" customWidth="1"/>
    <col min="2043" max="2043" width="11" style="5" customWidth="1"/>
    <col min="2044" max="2044" width="9.140625" style="5"/>
    <col min="2045" max="2045" width="0.7109375" style="5" customWidth="1"/>
    <col min="2046" max="2046" width="11" style="5" customWidth="1"/>
    <col min="2047" max="2047" width="9.140625" style="5"/>
    <col min="2048" max="2048" width="0.7109375" style="5" customWidth="1"/>
    <col min="2049" max="2049" width="11" style="5" customWidth="1"/>
    <col min="2050" max="2050" width="9.140625" style="5"/>
    <col min="2051" max="2051" width="0.7109375" style="5" customWidth="1"/>
    <col min="2052" max="2052" width="11" style="5" customWidth="1"/>
    <col min="2053" max="2053" width="9.140625" style="5"/>
    <col min="2054" max="2054" width="0.7109375" style="5" customWidth="1"/>
    <col min="2055" max="2055" width="11" style="5" customWidth="1"/>
    <col min="2056" max="2285" width="9.140625" style="5"/>
    <col min="2286" max="2286" width="21.140625" style="5" customWidth="1"/>
    <col min="2287" max="2287" width="11" style="5" customWidth="1"/>
    <col min="2288" max="2288" width="9" style="5" customWidth="1"/>
    <col min="2289" max="2289" width="0.7109375" style="5" customWidth="1"/>
    <col min="2290" max="2290" width="11" style="5" customWidth="1"/>
    <col min="2291" max="2291" width="9.140625" style="5"/>
    <col min="2292" max="2292" width="0.7109375" style="5" customWidth="1"/>
    <col min="2293" max="2293" width="11" style="5" customWidth="1"/>
    <col min="2294" max="2294" width="9.140625" style="5"/>
    <col min="2295" max="2295" width="0.7109375" style="5" customWidth="1"/>
    <col min="2296" max="2296" width="16.42578125" style="5" customWidth="1"/>
    <col min="2297" max="2297" width="9.140625" style="5"/>
    <col min="2298" max="2298" width="0.7109375" style="5" customWidth="1"/>
    <col min="2299" max="2299" width="11" style="5" customWidth="1"/>
    <col min="2300" max="2300" width="9.140625" style="5"/>
    <col min="2301" max="2301" width="0.7109375" style="5" customWidth="1"/>
    <col min="2302" max="2302" width="11" style="5" customWidth="1"/>
    <col min="2303" max="2303" width="9.140625" style="5"/>
    <col min="2304" max="2304" width="0.7109375" style="5" customWidth="1"/>
    <col min="2305" max="2305" width="11" style="5" customWidth="1"/>
    <col min="2306" max="2306" width="9.140625" style="5"/>
    <col min="2307" max="2307" width="0.7109375" style="5" customWidth="1"/>
    <col min="2308" max="2308" width="11" style="5" customWidth="1"/>
    <col min="2309" max="2309" width="9.140625" style="5"/>
    <col min="2310" max="2310" width="0.7109375" style="5" customWidth="1"/>
    <col min="2311" max="2311" width="11" style="5" customWidth="1"/>
    <col min="2312" max="2541" width="9.140625" style="5"/>
    <col min="2542" max="2542" width="21.140625" style="5" customWidth="1"/>
    <col min="2543" max="2543" width="11" style="5" customWidth="1"/>
    <col min="2544" max="2544" width="9" style="5" customWidth="1"/>
    <col min="2545" max="2545" width="0.7109375" style="5" customWidth="1"/>
    <col min="2546" max="2546" width="11" style="5" customWidth="1"/>
    <col min="2547" max="2547" width="9.140625" style="5"/>
    <col min="2548" max="2548" width="0.7109375" style="5" customWidth="1"/>
    <col min="2549" max="2549" width="11" style="5" customWidth="1"/>
    <col min="2550" max="2550" width="9.140625" style="5"/>
    <col min="2551" max="2551" width="0.7109375" style="5" customWidth="1"/>
    <col min="2552" max="2552" width="16.42578125" style="5" customWidth="1"/>
    <col min="2553" max="2553" width="9.140625" style="5"/>
    <col min="2554" max="2554" width="0.7109375" style="5" customWidth="1"/>
    <col min="2555" max="2555" width="11" style="5" customWidth="1"/>
    <col min="2556" max="2556" width="9.140625" style="5"/>
    <col min="2557" max="2557" width="0.7109375" style="5" customWidth="1"/>
    <col min="2558" max="2558" width="11" style="5" customWidth="1"/>
    <col min="2559" max="2559" width="9.140625" style="5"/>
    <col min="2560" max="2560" width="0.7109375" style="5" customWidth="1"/>
    <col min="2561" max="2561" width="11" style="5" customWidth="1"/>
    <col min="2562" max="2562" width="9.140625" style="5"/>
    <col min="2563" max="2563" width="0.7109375" style="5" customWidth="1"/>
    <col min="2564" max="2564" width="11" style="5" customWidth="1"/>
    <col min="2565" max="2565" width="9.140625" style="5"/>
    <col min="2566" max="2566" width="0.7109375" style="5" customWidth="1"/>
    <col min="2567" max="2567" width="11" style="5" customWidth="1"/>
    <col min="2568" max="2797" width="9.140625" style="5"/>
    <col min="2798" max="2798" width="21.140625" style="5" customWidth="1"/>
    <col min="2799" max="2799" width="11" style="5" customWidth="1"/>
    <col min="2800" max="2800" width="9" style="5" customWidth="1"/>
    <col min="2801" max="2801" width="0.7109375" style="5" customWidth="1"/>
    <col min="2802" max="2802" width="11" style="5" customWidth="1"/>
    <col min="2803" max="2803" width="9.140625" style="5"/>
    <col min="2804" max="2804" width="0.7109375" style="5" customWidth="1"/>
    <col min="2805" max="2805" width="11" style="5" customWidth="1"/>
    <col min="2806" max="2806" width="9.140625" style="5"/>
    <col min="2807" max="2807" width="0.7109375" style="5" customWidth="1"/>
    <col min="2808" max="2808" width="16.42578125" style="5" customWidth="1"/>
    <col min="2809" max="2809" width="9.140625" style="5"/>
    <col min="2810" max="2810" width="0.7109375" style="5" customWidth="1"/>
    <col min="2811" max="2811" width="11" style="5" customWidth="1"/>
    <col min="2812" max="2812" width="9.140625" style="5"/>
    <col min="2813" max="2813" width="0.7109375" style="5" customWidth="1"/>
    <col min="2814" max="2814" width="11" style="5" customWidth="1"/>
    <col min="2815" max="2815" width="9.140625" style="5"/>
    <col min="2816" max="2816" width="0.7109375" style="5" customWidth="1"/>
    <col min="2817" max="2817" width="11" style="5" customWidth="1"/>
    <col min="2818" max="2818" width="9.140625" style="5"/>
    <col min="2819" max="2819" width="0.7109375" style="5" customWidth="1"/>
    <col min="2820" max="2820" width="11" style="5" customWidth="1"/>
    <col min="2821" max="2821" width="9.140625" style="5"/>
    <col min="2822" max="2822" width="0.7109375" style="5" customWidth="1"/>
    <col min="2823" max="2823" width="11" style="5" customWidth="1"/>
    <col min="2824" max="3053" width="9.140625" style="5"/>
    <col min="3054" max="3054" width="21.140625" style="5" customWidth="1"/>
    <col min="3055" max="3055" width="11" style="5" customWidth="1"/>
    <col min="3056" max="3056" width="9" style="5" customWidth="1"/>
    <col min="3057" max="3057" width="0.7109375" style="5" customWidth="1"/>
    <col min="3058" max="3058" width="11" style="5" customWidth="1"/>
    <col min="3059" max="3059" width="9.140625" style="5"/>
    <col min="3060" max="3060" width="0.7109375" style="5" customWidth="1"/>
    <col min="3061" max="3061" width="11" style="5" customWidth="1"/>
    <col min="3062" max="3062" width="9.140625" style="5"/>
    <col min="3063" max="3063" width="0.7109375" style="5" customWidth="1"/>
    <col min="3064" max="3064" width="16.42578125" style="5" customWidth="1"/>
    <col min="3065" max="3065" width="9.140625" style="5"/>
    <col min="3066" max="3066" width="0.7109375" style="5" customWidth="1"/>
    <col min="3067" max="3067" width="11" style="5" customWidth="1"/>
    <col min="3068" max="3068" width="9.140625" style="5"/>
    <col min="3069" max="3069" width="0.7109375" style="5" customWidth="1"/>
    <col min="3070" max="3070" width="11" style="5" customWidth="1"/>
    <col min="3071" max="3071" width="9.140625" style="5"/>
    <col min="3072" max="3072" width="0.7109375" style="5" customWidth="1"/>
    <col min="3073" max="3073" width="11" style="5" customWidth="1"/>
    <col min="3074" max="3074" width="9.140625" style="5"/>
    <col min="3075" max="3075" width="0.7109375" style="5" customWidth="1"/>
    <col min="3076" max="3076" width="11" style="5" customWidth="1"/>
    <col min="3077" max="3077" width="9.140625" style="5"/>
    <col min="3078" max="3078" width="0.7109375" style="5" customWidth="1"/>
    <col min="3079" max="3079" width="11" style="5" customWidth="1"/>
    <col min="3080" max="3309" width="9.140625" style="5"/>
    <col min="3310" max="3310" width="21.140625" style="5" customWidth="1"/>
    <col min="3311" max="3311" width="11" style="5" customWidth="1"/>
    <col min="3312" max="3312" width="9" style="5" customWidth="1"/>
    <col min="3313" max="3313" width="0.7109375" style="5" customWidth="1"/>
    <col min="3314" max="3314" width="11" style="5" customWidth="1"/>
    <col min="3315" max="3315" width="9.140625" style="5"/>
    <col min="3316" max="3316" width="0.7109375" style="5" customWidth="1"/>
    <col min="3317" max="3317" width="11" style="5" customWidth="1"/>
    <col min="3318" max="3318" width="9.140625" style="5"/>
    <col min="3319" max="3319" width="0.7109375" style="5" customWidth="1"/>
    <col min="3320" max="3320" width="16.42578125" style="5" customWidth="1"/>
    <col min="3321" max="3321" width="9.140625" style="5"/>
    <col min="3322" max="3322" width="0.7109375" style="5" customWidth="1"/>
    <col min="3323" max="3323" width="11" style="5" customWidth="1"/>
    <col min="3324" max="3324" width="9.140625" style="5"/>
    <col min="3325" max="3325" width="0.7109375" style="5" customWidth="1"/>
    <col min="3326" max="3326" width="11" style="5" customWidth="1"/>
    <col min="3327" max="3327" width="9.140625" style="5"/>
    <col min="3328" max="3328" width="0.7109375" style="5" customWidth="1"/>
    <col min="3329" max="3329" width="11" style="5" customWidth="1"/>
    <col min="3330" max="3330" width="9.140625" style="5"/>
    <col min="3331" max="3331" width="0.7109375" style="5" customWidth="1"/>
    <col min="3332" max="3332" width="11" style="5" customWidth="1"/>
    <col min="3333" max="3333" width="9.140625" style="5"/>
    <col min="3334" max="3334" width="0.7109375" style="5" customWidth="1"/>
    <col min="3335" max="3335" width="11" style="5" customWidth="1"/>
    <col min="3336" max="3565" width="9.140625" style="5"/>
    <col min="3566" max="3566" width="21.140625" style="5" customWidth="1"/>
    <col min="3567" max="3567" width="11" style="5" customWidth="1"/>
    <col min="3568" max="3568" width="9" style="5" customWidth="1"/>
    <col min="3569" max="3569" width="0.7109375" style="5" customWidth="1"/>
    <col min="3570" max="3570" width="11" style="5" customWidth="1"/>
    <col min="3571" max="3571" width="9.140625" style="5"/>
    <col min="3572" max="3572" width="0.7109375" style="5" customWidth="1"/>
    <col min="3573" max="3573" width="11" style="5" customWidth="1"/>
    <col min="3574" max="3574" width="9.140625" style="5"/>
    <col min="3575" max="3575" width="0.7109375" style="5" customWidth="1"/>
    <col min="3576" max="3576" width="16.42578125" style="5" customWidth="1"/>
    <col min="3577" max="3577" width="9.140625" style="5"/>
    <col min="3578" max="3578" width="0.7109375" style="5" customWidth="1"/>
    <col min="3579" max="3579" width="11" style="5" customWidth="1"/>
    <col min="3580" max="3580" width="9.140625" style="5"/>
    <col min="3581" max="3581" width="0.7109375" style="5" customWidth="1"/>
    <col min="3582" max="3582" width="11" style="5" customWidth="1"/>
    <col min="3583" max="3583" width="9.140625" style="5"/>
    <col min="3584" max="3584" width="0.7109375" style="5" customWidth="1"/>
    <col min="3585" max="3585" width="11" style="5" customWidth="1"/>
    <col min="3586" max="3586" width="9.140625" style="5"/>
    <col min="3587" max="3587" width="0.7109375" style="5" customWidth="1"/>
    <col min="3588" max="3588" width="11" style="5" customWidth="1"/>
    <col min="3589" max="3589" width="9.140625" style="5"/>
    <col min="3590" max="3590" width="0.7109375" style="5" customWidth="1"/>
    <col min="3591" max="3591" width="11" style="5" customWidth="1"/>
    <col min="3592" max="3821" width="9.140625" style="5"/>
    <col min="3822" max="3822" width="21.140625" style="5" customWidth="1"/>
    <col min="3823" max="3823" width="11" style="5" customWidth="1"/>
    <col min="3824" max="3824" width="9" style="5" customWidth="1"/>
    <col min="3825" max="3825" width="0.7109375" style="5" customWidth="1"/>
    <col min="3826" max="3826" width="11" style="5" customWidth="1"/>
    <col min="3827" max="3827" width="9.140625" style="5"/>
    <col min="3828" max="3828" width="0.7109375" style="5" customWidth="1"/>
    <col min="3829" max="3829" width="11" style="5" customWidth="1"/>
    <col min="3830" max="3830" width="9.140625" style="5"/>
    <col min="3831" max="3831" width="0.7109375" style="5" customWidth="1"/>
    <col min="3832" max="3832" width="16.42578125" style="5" customWidth="1"/>
    <col min="3833" max="3833" width="9.140625" style="5"/>
    <col min="3834" max="3834" width="0.7109375" style="5" customWidth="1"/>
    <col min="3835" max="3835" width="11" style="5" customWidth="1"/>
    <col min="3836" max="3836" width="9.140625" style="5"/>
    <col min="3837" max="3837" width="0.7109375" style="5" customWidth="1"/>
    <col min="3838" max="3838" width="11" style="5" customWidth="1"/>
    <col min="3839" max="3839" width="9.140625" style="5"/>
    <col min="3840" max="3840" width="0.7109375" style="5" customWidth="1"/>
    <col min="3841" max="3841" width="11" style="5" customWidth="1"/>
    <col min="3842" max="3842" width="9.140625" style="5"/>
    <col min="3843" max="3843" width="0.7109375" style="5" customWidth="1"/>
    <col min="3844" max="3844" width="11" style="5" customWidth="1"/>
    <col min="3845" max="3845" width="9.140625" style="5"/>
    <col min="3846" max="3846" width="0.7109375" style="5" customWidth="1"/>
    <col min="3847" max="3847" width="11" style="5" customWidth="1"/>
    <col min="3848" max="4077" width="9.140625" style="5"/>
    <col min="4078" max="4078" width="21.140625" style="5" customWidth="1"/>
    <col min="4079" max="4079" width="11" style="5" customWidth="1"/>
    <col min="4080" max="4080" width="9" style="5" customWidth="1"/>
    <col min="4081" max="4081" width="0.7109375" style="5" customWidth="1"/>
    <col min="4082" max="4082" width="11" style="5" customWidth="1"/>
    <col min="4083" max="4083" width="9.140625" style="5"/>
    <col min="4084" max="4084" width="0.7109375" style="5" customWidth="1"/>
    <col min="4085" max="4085" width="11" style="5" customWidth="1"/>
    <col min="4086" max="4086" width="9.140625" style="5"/>
    <col min="4087" max="4087" width="0.7109375" style="5" customWidth="1"/>
    <col min="4088" max="4088" width="16.42578125" style="5" customWidth="1"/>
    <col min="4089" max="4089" width="9.140625" style="5"/>
    <col min="4090" max="4090" width="0.7109375" style="5" customWidth="1"/>
    <col min="4091" max="4091" width="11" style="5" customWidth="1"/>
    <col min="4092" max="4092" width="9.140625" style="5"/>
    <col min="4093" max="4093" width="0.7109375" style="5" customWidth="1"/>
    <col min="4094" max="4094" width="11" style="5" customWidth="1"/>
    <col min="4095" max="4095" width="9.140625" style="5"/>
    <col min="4096" max="4096" width="0.7109375" style="5" customWidth="1"/>
    <col min="4097" max="4097" width="11" style="5" customWidth="1"/>
    <col min="4098" max="4098" width="9.140625" style="5"/>
    <col min="4099" max="4099" width="0.7109375" style="5" customWidth="1"/>
    <col min="4100" max="4100" width="11" style="5" customWidth="1"/>
    <col min="4101" max="4101" width="9.140625" style="5"/>
    <col min="4102" max="4102" width="0.7109375" style="5" customWidth="1"/>
    <col min="4103" max="4103" width="11" style="5" customWidth="1"/>
    <col min="4104" max="4333" width="9.140625" style="5"/>
    <col min="4334" max="4334" width="21.140625" style="5" customWidth="1"/>
    <col min="4335" max="4335" width="11" style="5" customWidth="1"/>
    <col min="4336" max="4336" width="9" style="5" customWidth="1"/>
    <col min="4337" max="4337" width="0.7109375" style="5" customWidth="1"/>
    <col min="4338" max="4338" width="11" style="5" customWidth="1"/>
    <col min="4339" max="4339" width="9.140625" style="5"/>
    <col min="4340" max="4340" width="0.7109375" style="5" customWidth="1"/>
    <col min="4341" max="4341" width="11" style="5" customWidth="1"/>
    <col min="4342" max="4342" width="9.140625" style="5"/>
    <col min="4343" max="4343" width="0.7109375" style="5" customWidth="1"/>
    <col min="4344" max="4344" width="16.42578125" style="5" customWidth="1"/>
    <col min="4345" max="4345" width="9.140625" style="5"/>
    <col min="4346" max="4346" width="0.7109375" style="5" customWidth="1"/>
    <col min="4347" max="4347" width="11" style="5" customWidth="1"/>
    <col min="4348" max="4348" width="9.140625" style="5"/>
    <col min="4349" max="4349" width="0.7109375" style="5" customWidth="1"/>
    <col min="4350" max="4350" width="11" style="5" customWidth="1"/>
    <col min="4351" max="4351" width="9.140625" style="5"/>
    <col min="4352" max="4352" width="0.7109375" style="5" customWidth="1"/>
    <col min="4353" max="4353" width="11" style="5" customWidth="1"/>
    <col min="4354" max="4354" width="9.140625" style="5"/>
    <col min="4355" max="4355" width="0.7109375" style="5" customWidth="1"/>
    <col min="4356" max="4356" width="11" style="5" customWidth="1"/>
    <col min="4357" max="4357" width="9.140625" style="5"/>
    <col min="4358" max="4358" width="0.7109375" style="5" customWidth="1"/>
    <col min="4359" max="4359" width="11" style="5" customWidth="1"/>
    <col min="4360" max="4589" width="9.140625" style="5"/>
    <col min="4590" max="4590" width="21.140625" style="5" customWidth="1"/>
    <col min="4591" max="4591" width="11" style="5" customWidth="1"/>
    <col min="4592" max="4592" width="9" style="5" customWidth="1"/>
    <col min="4593" max="4593" width="0.7109375" style="5" customWidth="1"/>
    <col min="4594" max="4594" width="11" style="5" customWidth="1"/>
    <col min="4595" max="4595" width="9.140625" style="5"/>
    <col min="4596" max="4596" width="0.7109375" style="5" customWidth="1"/>
    <col min="4597" max="4597" width="11" style="5" customWidth="1"/>
    <col min="4598" max="4598" width="9.140625" style="5"/>
    <col min="4599" max="4599" width="0.7109375" style="5" customWidth="1"/>
    <col min="4600" max="4600" width="16.42578125" style="5" customWidth="1"/>
    <col min="4601" max="4601" width="9.140625" style="5"/>
    <col min="4602" max="4602" width="0.7109375" style="5" customWidth="1"/>
    <col min="4603" max="4603" width="11" style="5" customWidth="1"/>
    <col min="4604" max="4604" width="9.140625" style="5"/>
    <col min="4605" max="4605" width="0.7109375" style="5" customWidth="1"/>
    <col min="4606" max="4606" width="11" style="5" customWidth="1"/>
    <col min="4607" max="4607" width="9.140625" style="5"/>
    <col min="4608" max="4608" width="0.7109375" style="5" customWidth="1"/>
    <col min="4609" max="4609" width="11" style="5" customWidth="1"/>
    <col min="4610" max="4610" width="9.140625" style="5"/>
    <col min="4611" max="4611" width="0.7109375" style="5" customWidth="1"/>
    <col min="4612" max="4612" width="11" style="5" customWidth="1"/>
    <col min="4613" max="4613" width="9.140625" style="5"/>
    <col min="4614" max="4614" width="0.7109375" style="5" customWidth="1"/>
    <col min="4615" max="4615" width="11" style="5" customWidth="1"/>
    <col min="4616" max="4845" width="9.140625" style="5"/>
    <col min="4846" max="4846" width="21.140625" style="5" customWidth="1"/>
    <col min="4847" max="4847" width="11" style="5" customWidth="1"/>
    <col min="4848" max="4848" width="9" style="5" customWidth="1"/>
    <col min="4849" max="4849" width="0.7109375" style="5" customWidth="1"/>
    <col min="4850" max="4850" width="11" style="5" customWidth="1"/>
    <col min="4851" max="4851" width="9.140625" style="5"/>
    <col min="4852" max="4852" width="0.7109375" style="5" customWidth="1"/>
    <col min="4853" max="4853" width="11" style="5" customWidth="1"/>
    <col min="4854" max="4854" width="9.140625" style="5"/>
    <col min="4855" max="4855" width="0.7109375" style="5" customWidth="1"/>
    <col min="4856" max="4856" width="16.42578125" style="5" customWidth="1"/>
    <col min="4857" max="4857" width="9.140625" style="5"/>
    <col min="4858" max="4858" width="0.7109375" style="5" customWidth="1"/>
    <col min="4859" max="4859" width="11" style="5" customWidth="1"/>
    <col min="4860" max="4860" width="9.140625" style="5"/>
    <col min="4861" max="4861" width="0.7109375" style="5" customWidth="1"/>
    <col min="4862" max="4862" width="11" style="5" customWidth="1"/>
    <col min="4863" max="4863" width="9.140625" style="5"/>
    <col min="4864" max="4864" width="0.7109375" style="5" customWidth="1"/>
    <col min="4865" max="4865" width="11" style="5" customWidth="1"/>
    <col min="4866" max="4866" width="9.140625" style="5"/>
    <col min="4867" max="4867" width="0.7109375" style="5" customWidth="1"/>
    <col min="4868" max="4868" width="11" style="5" customWidth="1"/>
    <col min="4869" max="4869" width="9.140625" style="5"/>
    <col min="4870" max="4870" width="0.7109375" style="5" customWidth="1"/>
    <col min="4871" max="4871" width="11" style="5" customWidth="1"/>
    <col min="4872" max="5101" width="9.140625" style="5"/>
    <col min="5102" max="5102" width="21.140625" style="5" customWidth="1"/>
    <col min="5103" max="5103" width="11" style="5" customWidth="1"/>
    <col min="5104" max="5104" width="9" style="5" customWidth="1"/>
    <col min="5105" max="5105" width="0.7109375" style="5" customWidth="1"/>
    <col min="5106" max="5106" width="11" style="5" customWidth="1"/>
    <col min="5107" max="5107" width="9.140625" style="5"/>
    <col min="5108" max="5108" width="0.7109375" style="5" customWidth="1"/>
    <col min="5109" max="5109" width="11" style="5" customWidth="1"/>
    <col min="5110" max="5110" width="9.140625" style="5"/>
    <col min="5111" max="5111" width="0.7109375" style="5" customWidth="1"/>
    <col min="5112" max="5112" width="16.42578125" style="5" customWidth="1"/>
    <col min="5113" max="5113" width="9.140625" style="5"/>
    <col min="5114" max="5114" width="0.7109375" style="5" customWidth="1"/>
    <col min="5115" max="5115" width="11" style="5" customWidth="1"/>
    <col min="5116" max="5116" width="9.140625" style="5"/>
    <col min="5117" max="5117" width="0.7109375" style="5" customWidth="1"/>
    <col min="5118" max="5118" width="11" style="5" customWidth="1"/>
    <col min="5119" max="5119" width="9.140625" style="5"/>
    <col min="5120" max="5120" width="0.7109375" style="5" customWidth="1"/>
    <col min="5121" max="5121" width="11" style="5" customWidth="1"/>
    <col min="5122" max="5122" width="9.140625" style="5"/>
    <col min="5123" max="5123" width="0.7109375" style="5" customWidth="1"/>
    <col min="5124" max="5124" width="11" style="5" customWidth="1"/>
    <col min="5125" max="5125" width="9.140625" style="5"/>
    <col min="5126" max="5126" width="0.7109375" style="5" customWidth="1"/>
    <col min="5127" max="5127" width="11" style="5" customWidth="1"/>
    <col min="5128" max="5357" width="9.140625" style="5"/>
    <col min="5358" max="5358" width="21.140625" style="5" customWidth="1"/>
    <col min="5359" max="5359" width="11" style="5" customWidth="1"/>
    <col min="5360" max="5360" width="9" style="5" customWidth="1"/>
    <col min="5361" max="5361" width="0.7109375" style="5" customWidth="1"/>
    <col min="5362" max="5362" width="11" style="5" customWidth="1"/>
    <col min="5363" max="5363" width="9.140625" style="5"/>
    <col min="5364" max="5364" width="0.7109375" style="5" customWidth="1"/>
    <col min="5365" max="5365" width="11" style="5" customWidth="1"/>
    <col min="5366" max="5366" width="9.140625" style="5"/>
    <col min="5367" max="5367" width="0.7109375" style="5" customWidth="1"/>
    <col min="5368" max="5368" width="16.42578125" style="5" customWidth="1"/>
    <col min="5369" max="5369" width="9.140625" style="5"/>
    <col min="5370" max="5370" width="0.7109375" style="5" customWidth="1"/>
    <col min="5371" max="5371" width="11" style="5" customWidth="1"/>
    <col min="5372" max="5372" width="9.140625" style="5"/>
    <col min="5373" max="5373" width="0.7109375" style="5" customWidth="1"/>
    <col min="5374" max="5374" width="11" style="5" customWidth="1"/>
    <col min="5375" max="5375" width="9.140625" style="5"/>
    <col min="5376" max="5376" width="0.7109375" style="5" customWidth="1"/>
    <col min="5377" max="5377" width="11" style="5" customWidth="1"/>
    <col min="5378" max="5378" width="9.140625" style="5"/>
    <col min="5379" max="5379" width="0.7109375" style="5" customWidth="1"/>
    <col min="5380" max="5380" width="11" style="5" customWidth="1"/>
    <col min="5381" max="5381" width="9.140625" style="5"/>
    <col min="5382" max="5382" width="0.7109375" style="5" customWidth="1"/>
    <col min="5383" max="5383" width="11" style="5" customWidth="1"/>
    <col min="5384" max="5613" width="9.140625" style="5"/>
    <col min="5614" max="5614" width="21.140625" style="5" customWidth="1"/>
    <col min="5615" max="5615" width="11" style="5" customWidth="1"/>
    <col min="5616" max="5616" width="9" style="5" customWidth="1"/>
    <col min="5617" max="5617" width="0.7109375" style="5" customWidth="1"/>
    <col min="5618" max="5618" width="11" style="5" customWidth="1"/>
    <col min="5619" max="5619" width="9.140625" style="5"/>
    <col min="5620" max="5620" width="0.7109375" style="5" customWidth="1"/>
    <col min="5621" max="5621" width="11" style="5" customWidth="1"/>
    <col min="5622" max="5622" width="9.140625" style="5"/>
    <col min="5623" max="5623" width="0.7109375" style="5" customWidth="1"/>
    <col min="5624" max="5624" width="16.42578125" style="5" customWidth="1"/>
    <col min="5625" max="5625" width="9.140625" style="5"/>
    <col min="5626" max="5626" width="0.7109375" style="5" customWidth="1"/>
    <col min="5627" max="5627" width="11" style="5" customWidth="1"/>
    <col min="5628" max="5628" width="9.140625" style="5"/>
    <col min="5629" max="5629" width="0.7109375" style="5" customWidth="1"/>
    <col min="5630" max="5630" width="11" style="5" customWidth="1"/>
    <col min="5631" max="5631" width="9.140625" style="5"/>
    <col min="5632" max="5632" width="0.7109375" style="5" customWidth="1"/>
    <col min="5633" max="5633" width="11" style="5" customWidth="1"/>
    <col min="5634" max="5634" width="9.140625" style="5"/>
    <col min="5635" max="5635" width="0.7109375" style="5" customWidth="1"/>
    <col min="5636" max="5636" width="11" style="5" customWidth="1"/>
    <col min="5637" max="5637" width="9.140625" style="5"/>
    <col min="5638" max="5638" width="0.7109375" style="5" customWidth="1"/>
    <col min="5639" max="5639" width="11" style="5" customWidth="1"/>
    <col min="5640" max="5869" width="9.140625" style="5"/>
    <col min="5870" max="5870" width="21.140625" style="5" customWidth="1"/>
    <col min="5871" max="5871" width="11" style="5" customWidth="1"/>
    <col min="5872" max="5872" width="9" style="5" customWidth="1"/>
    <col min="5873" max="5873" width="0.7109375" style="5" customWidth="1"/>
    <col min="5874" max="5874" width="11" style="5" customWidth="1"/>
    <col min="5875" max="5875" width="9.140625" style="5"/>
    <col min="5876" max="5876" width="0.7109375" style="5" customWidth="1"/>
    <col min="5877" max="5877" width="11" style="5" customWidth="1"/>
    <col min="5878" max="5878" width="9.140625" style="5"/>
    <col min="5879" max="5879" width="0.7109375" style="5" customWidth="1"/>
    <col min="5880" max="5880" width="16.42578125" style="5" customWidth="1"/>
    <col min="5881" max="5881" width="9.140625" style="5"/>
    <col min="5882" max="5882" width="0.7109375" style="5" customWidth="1"/>
    <col min="5883" max="5883" width="11" style="5" customWidth="1"/>
    <col min="5884" max="5884" width="9.140625" style="5"/>
    <col min="5885" max="5885" width="0.7109375" style="5" customWidth="1"/>
    <col min="5886" max="5886" width="11" style="5" customWidth="1"/>
    <col min="5887" max="5887" width="9.140625" style="5"/>
    <col min="5888" max="5888" width="0.7109375" style="5" customWidth="1"/>
    <col min="5889" max="5889" width="11" style="5" customWidth="1"/>
    <col min="5890" max="5890" width="9.140625" style="5"/>
    <col min="5891" max="5891" width="0.7109375" style="5" customWidth="1"/>
    <col min="5892" max="5892" width="11" style="5" customWidth="1"/>
    <col min="5893" max="5893" width="9.140625" style="5"/>
    <col min="5894" max="5894" width="0.7109375" style="5" customWidth="1"/>
    <col min="5895" max="5895" width="11" style="5" customWidth="1"/>
    <col min="5896" max="6125" width="9.140625" style="5"/>
    <col min="6126" max="6126" width="21.140625" style="5" customWidth="1"/>
    <col min="6127" max="6127" width="11" style="5" customWidth="1"/>
    <col min="6128" max="6128" width="9" style="5" customWidth="1"/>
    <col min="6129" max="6129" width="0.7109375" style="5" customWidth="1"/>
    <col min="6130" max="6130" width="11" style="5" customWidth="1"/>
    <col min="6131" max="6131" width="9.140625" style="5"/>
    <col min="6132" max="6132" width="0.7109375" style="5" customWidth="1"/>
    <col min="6133" max="6133" width="11" style="5" customWidth="1"/>
    <col min="6134" max="6134" width="9.140625" style="5"/>
    <col min="6135" max="6135" width="0.7109375" style="5" customWidth="1"/>
    <col min="6136" max="6136" width="16.42578125" style="5" customWidth="1"/>
    <col min="6137" max="6137" width="9.140625" style="5"/>
    <col min="6138" max="6138" width="0.7109375" style="5" customWidth="1"/>
    <col min="6139" max="6139" width="11" style="5" customWidth="1"/>
    <col min="6140" max="6140" width="9.140625" style="5"/>
    <col min="6141" max="6141" width="0.7109375" style="5" customWidth="1"/>
    <col min="6142" max="6142" width="11" style="5" customWidth="1"/>
    <col min="6143" max="6143" width="9.140625" style="5"/>
    <col min="6144" max="6144" width="0.7109375" style="5" customWidth="1"/>
    <col min="6145" max="6145" width="11" style="5" customWidth="1"/>
    <col min="6146" max="6146" width="9.140625" style="5"/>
    <col min="6147" max="6147" width="0.7109375" style="5" customWidth="1"/>
    <col min="6148" max="6148" width="11" style="5" customWidth="1"/>
    <col min="6149" max="6149" width="9.140625" style="5"/>
    <col min="6150" max="6150" width="0.7109375" style="5" customWidth="1"/>
    <col min="6151" max="6151" width="11" style="5" customWidth="1"/>
    <col min="6152" max="6381" width="9.140625" style="5"/>
    <col min="6382" max="6382" width="21.140625" style="5" customWidth="1"/>
    <col min="6383" max="6383" width="11" style="5" customWidth="1"/>
    <col min="6384" max="6384" width="9" style="5" customWidth="1"/>
    <col min="6385" max="6385" width="0.7109375" style="5" customWidth="1"/>
    <col min="6386" max="6386" width="11" style="5" customWidth="1"/>
    <col min="6387" max="6387" width="9.140625" style="5"/>
    <col min="6388" max="6388" width="0.7109375" style="5" customWidth="1"/>
    <col min="6389" max="6389" width="11" style="5" customWidth="1"/>
    <col min="6390" max="6390" width="9.140625" style="5"/>
    <col min="6391" max="6391" width="0.7109375" style="5" customWidth="1"/>
    <col min="6392" max="6392" width="16.42578125" style="5" customWidth="1"/>
    <col min="6393" max="6393" width="9.140625" style="5"/>
    <col min="6394" max="6394" width="0.7109375" style="5" customWidth="1"/>
    <col min="6395" max="6395" width="11" style="5" customWidth="1"/>
    <col min="6396" max="6396" width="9.140625" style="5"/>
    <col min="6397" max="6397" width="0.7109375" style="5" customWidth="1"/>
    <col min="6398" max="6398" width="11" style="5" customWidth="1"/>
    <col min="6399" max="6399" width="9.140625" style="5"/>
    <col min="6400" max="6400" width="0.7109375" style="5" customWidth="1"/>
    <col min="6401" max="6401" width="11" style="5" customWidth="1"/>
    <col min="6402" max="6402" width="9.140625" style="5"/>
    <col min="6403" max="6403" width="0.7109375" style="5" customWidth="1"/>
    <col min="6404" max="6404" width="11" style="5" customWidth="1"/>
    <col min="6405" max="6405" width="9.140625" style="5"/>
    <col min="6406" max="6406" width="0.7109375" style="5" customWidth="1"/>
    <col min="6407" max="6407" width="11" style="5" customWidth="1"/>
    <col min="6408" max="6637" width="9.140625" style="5"/>
    <col min="6638" max="6638" width="21.140625" style="5" customWidth="1"/>
    <col min="6639" max="6639" width="11" style="5" customWidth="1"/>
    <col min="6640" max="6640" width="9" style="5" customWidth="1"/>
    <col min="6641" max="6641" width="0.7109375" style="5" customWidth="1"/>
    <col min="6642" max="6642" width="11" style="5" customWidth="1"/>
    <col min="6643" max="6643" width="9.140625" style="5"/>
    <col min="6644" max="6644" width="0.7109375" style="5" customWidth="1"/>
    <col min="6645" max="6645" width="11" style="5" customWidth="1"/>
    <col min="6646" max="6646" width="9.140625" style="5"/>
    <col min="6647" max="6647" width="0.7109375" style="5" customWidth="1"/>
    <col min="6648" max="6648" width="16.42578125" style="5" customWidth="1"/>
    <col min="6649" max="6649" width="9.140625" style="5"/>
    <col min="6650" max="6650" width="0.7109375" style="5" customWidth="1"/>
    <col min="6651" max="6651" width="11" style="5" customWidth="1"/>
    <col min="6652" max="6652" width="9.140625" style="5"/>
    <col min="6653" max="6653" width="0.7109375" style="5" customWidth="1"/>
    <col min="6654" max="6654" width="11" style="5" customWidth="1"/>
    <col min="6655" max="6655" width="9.140625" style="5"/>
    <col min="6656" max="6656" width="0.7109375" style="5" customWidth="1"/>
    <col min="6657" max="6657" width="11" style="5" customWidth="1"/>
    <col min="6658" max="6658" width="9.140625" style="5"/>
    <col min="6659" max="6659" width="0.7109375" style="5" customWidth="1"/>
    <col min="6660" max="6660" width="11" style="5" customWidth="1"/>
    <col min="6661" max="6661" width="9.140625" style="5"/>
    <col min="6662" max="6662" width="0.7109375" style="5" customWidth="1"/>
    <col min="6663" max="6663" width="11" style="5" customWidth="1"/>
    <col min="6664" max="6893" width="9.140625" style="5"/>
    <col min="6894" max="6894" width="21.140625" style="5" customWidth="1"/>
    <col min="6895" max="6895" width="11" style="5" customWidth="1"/>
    <col min="6896" max="6896" width="9" style="5" customWidth="1"/>
    <col min="6897" max="6897" width="0.7109375" style="5" customWidth="1"/>
    <col min="6898" max="6898" width="11" style="5" customWidth="1"/>
    <col min="6899" max="6899" width="9.140625" style="5"/>
    <col min="6900" max="6900" width="0.7109375" style="5" customWidth="1"/>
    <col min="6901" max="6901" width="11" style="5" customWidth="1"/>
    <col min="6902" max="6902" width="9.140625" style="5"/>
    <col min="6903" max="6903" width="0.7109375" style="5" customWidth="1"/>
    <col min="6904" max="6904" width="16.42578125" style="5" customWidth="1"/>
    <col min="6905" max="6905" width="9.140625" style="5"/>
    <col min="6906" max="6906" width="0.7109375" style="5" customWidth="1"/>
    <col min="6907" max="6907" width="11" style="5" customWidth="1"/>
    <col min="6908" max="6908" width="9.140625" style="5"/>
    <col min="6909" max="6909" width="0.7109375" style="5" customWidth="1"/>
    <col min="6910" max="6910" width="11" style="5" customWidth="1"/>
    <col min="6911" max="6911" width="9.140625" style="5"/>
    <col min="6912" max="6912" width="0.7109375" style="5" customWidth="1"/>
    <col min="6913" max="6913" width="11" style="5" customWidth="1"/>
    <col min="6914" max="6914" width="9.140625" style="5"/>
    <col min="6915" max="6915" width="0.7109375" style="5" customWidth="1"/>
    <col min="6916" max="6916" width="11" style="5" customWidth="1"/>
    <col min="6917" max="6917" width="9.140625" style="5"/>
    <col min="6918" max="6918" width="0.7109375" style="5" customWidth="1"/>
    <col min="6919" max="6919" width="11" style="5" customWidth="1"/>
    <col min="6920" max="7149" width="9.140625" style="5"/>
    <col min="7150" max="7150" width="21.140625" style="5" customWidth="1"/>
    <col min="7151" max="7151" width="11" style="5" customWidth="1"/>
    <col min="7152" max="7152" width="9" style="5" customWidth="1"/>
    <col min="7153" max="7153" width="0.7109375" style="5" customWidth="1"/>
    <col min="7154" max="7154" width="11" style="5" customWidth="1"/>
    <col min="7155" max="7155" width="9.140625" style="5"/>
    <col min="7156" max="7156" width="0.7109375" style="5" customWidth="1"/>
    <col min="7157" max="7157" width="11" style="5" customWidth="1"/>
    <col min="7158" max="7158" width="9.140625" style="5"/>
    <col min="7159" max="7159" width="0.7109375" style="5" customWidth="1"/>
    <col min="7160" max="7160" width="16.42578125" style="5" customWidth="1"/>
    <col min="7161" max="7161" width="9.140625" style="5"/>
    <col min="7162" max="7162" width="0.7109375" style="5" customWidth="1"/>
    <col min="7163" max="7163" width="11" style="5" customWidth="1"/>
    <col min="7164" max="7164" width="9.140625" style="5"/>
    <col min="7165" max="7165" width="0.7109375" style="5" customWidth="1"/>
    <col min="7166" max="7166" width="11" style="5" customWidth="1"/>
    <col min="7167" max="7167" width="9.140625" style="5"/>
    <col min="7168" max="7168" width="0.7109375" style="5" customWidth="1"/>
    <col min="7169" max="7169" width="11" style="5" customWidth="1"/>
    <col min="7170" max="7170" width="9.140625" style="5"/>
    <col min="7171" max="7171" width="0.7109375" style="5" customWidth="1"/>
    <col min="7172" max="7172" width="11" style="5" customWidth="1"/>
    <col min="7173" max="7173" width="9.140625" style="5"/>
    <col min="7174" max="7174" width="0.7109375" style="5" customWidth="1"/>
    <col min="7175" max="7175" width="11" style="5" customWidth="1"/>
    <col min="7176" max="7405" width="9.140625" style="5"/>
    <col min="7406" max="7406" width="21.140625" style="5" customWidth="1"/>
    <col min="7407" max="7407" width="11" style="5" customWidth="1"/>
    <col min="7408" max="7408" width="9" style="5" customWidth="1"/>
    <col min="7409" max="7409" width="0.7109375" style="5" customWidth="1"/>
    <col min="7410" max="7410" width="11" style="5" customWidth="1"/>
    <col min="7411" max="7411" width="9.140625" style="5"/>
    <col min="7412" max="7412" width="0.7109375" style="5" customWidth="1"/>
    <col min="7413" max="7413" width="11" style="5" customWidth="1"/>
    <col min="7414" max="7414" width="9.140625" style="5"/>
    <col min="7415" max="7415" width="0.7109375" style="5" customWidth="1"/>
    <col min="7416" max="7416" width="16.42578125" style="5" customWidth="1"/>
    <col min="7417" max="7417" width="9.140625" style="5"/>
    <col min="7418" max="7418" width="0.7109375" style="5" customWidth="1"/>
    <col min="7419" max="7419" width="11" style="5" customWidth="1"/>
    <col min="7420" max="7420" width="9.140625" style="5"/>
    <col min="7421" max="7421" width="0.7109375" style="5" customWidth="1"/>
    <col min="7422" max="7422" width="11" style="5" customWidth="1"/>
    <col min="7423" max="7423" width="9.140625" style="5"/>
    <col min="7424" max="7424" width="0.7109375" style="5" customWidth="1"/>
    <col min="7425" max="7425" width="11" style="5" customWidth="1"/>
    <col min="7426" max="7426" width="9.140625" style="5"/>
    <col min="7427" max="7427" width="0.7109375" style="5" customWidth="1"/>
    <col min="7428" max="7428" width="11" style="5" customWidth="1"/>
    <col min="7429" max="7429" width="9.140625" style="5"/>
    <col min="7430" max="7430" width="0.7109375" style="5" customWidth="1"/>
    <col min="7431" max="7431" width="11" style="5" customWidth="1"/>
    <col min="7432" max="7661" width="9.140625" style="5"/>
    <col min="7662" max="7662" width="21.140625" style="5" customWidth="1"/>
    <col min="7663" max="7663" width="11" style="5" customWidth="1"/>
    <col min="7664" max="7664" width="9" style="5" customWidth="1"/>
    <col min="7665" max="7665" width="0.7109375" style="5" customWidth="1"/>
    <col min="7666" max="7666" width="11" style="5" customWidth="1"/>
    <col min="7667" max="7667" width="9.140625" style="5"/>
    <col min="7668" max="7668" width="0.7109375" style="5" customWidth="1"/>
    <col min="7669" max="7669" width="11" style="5" customWidth="1"/>
    <col min="7670" max="7670" width="9.140625" style="5"/>
    <col min="7671" max="7671" width="0.7109375" style="5" customWidth="1"/>
    <col min="7672" max="7672" width="16.42578125" style="5" customWidth="1"/>
    <col min="7673" max="7673" width="9.140625" style="5"/>
    <col min="7674" max="7674" width="0.7109375" style="5" customWidth="1"/>
    <col min="7675" max="7675" width="11" style="5" customWidth="1"/>
    <col min="7676" max="7676" width="9.140625" style="5"/>
    <col min="7677" max="7677" width="0.7109375" style="5" customWidth="1"/>
    <col min="7678" max="7678" width="11" style="5" customWidth="1"/>
    <col min="7679" max="7679" width="9.140625" style="5"/>
    <col min="7680" max="7680" width="0.7109375" style="5" customWidth="1"/>
    <col min="7681" max="7681" width="11" style="5" customWidth="1"/>
    <col min="7682" max="7682" width="9.140625" style="5"/>
    <col min="7683" max="7683" width="0.7109375" style="5" customWidth="1"/>
    <col min="7684" max="7684" width="11" style="5" customWidth="1"/>
    <col min="7685" max="7685" width="9.140625" style="5"/>
    <col min="7686" max="7686" width="0.7109375" style="5" customWidth="1"/>
    <col min="7687" max="7687" width="11" style="5" customWidth="1"/>
    <col min="7688" max="7917" width="9.140625" style="5"/>
    <col min="7918" max="7918" width="21.140625" style="5" customWidth="1"/>
    <col min="7919" max="7919" width="11" style="5" customWidth="1"/>
    <col min="7920" max="7920" width="9" style="5" customWidth="1"/>
    <col min="7921" max="7921" width="0.7109375" style="5" customWidth="1"/>
    <col min="7922" max="7922" width="11" style="5" customWidth="1"/>
    <col min="7923" max="7923" width="9.140625" style="5"/>
    <col min="7924" max="7924" width="0.7109375" style="5" customWidth="1"/>
    <col min="7925" max="7925" width="11" style="5" customWidth="1"/>
    <col min="7926" max="7926" width="9.140625" style="5"/>
    <col min="7927" max="7927" width="0.7109375" style="5" customWidth="1"/>
    <col min="7928" max="7928" width="16.42578125" style="5" customWidth="1"/>
    <col min="7929" max="7929" width="9.140625" style="5"/>
    <col min="7930" max="7930" width="0.7109375" style="5" customWidth="1"/>
    <col min="7931" max="7931" width="11" style="5" customWidth="1"/>
    <col min="7932" max="7932" width="9.140625" style="5"/>
    <col min="7933" max="7933" width="0.7109375" style="5" customWidth="1"/>
    <col min="7934" max="7934" width="11" style="5" customWidth="1"/>
    <col min="7935" max="7935" width="9.140625" style="5"/>
    <col min="7936" max="7936" width="0.7109375" style="5" customWidth="1"/>
    <col min="7937" max="7937" width="11" style="5" customWidth="1"/>
    <col min="7938" max="7938" width="9.140625" style="5"/>
    <col min="7939" max="7939" width="0.7109375" style="5" customWidth="1"/>
    <col min="7940" max="7940" width="11" style="5" customWidth="1"/>
    <col min="7941" max="7941" width="9.140625" style="5"/>
    <col min="7942" max="7942" width="0.7109375" style="5" customWidth="1"/>
    <col min="7943" max="7943" width="11" style="5" customWidth="1"/>
    <col min="7944" max="8173" width="9.140625" style="5"/>
    <col min="8174" max="8174" width="21.140625" style="5" customWidth="1"/>
    <col min="8175" max="8175" width="11" style="5" customWidth="1"/>
    <col min="8176" max="8176" width="9" style="5" customWidth="1"/>
    <col min="8177" max="8177" width="0.7109375" style="5" customWidth="1"/>
    <col min="8178" max="8178" width="11" style="5" customWidth="1"/>
    <col min="8179" max="8179" width="9.140625" style="5"/>
    <col min="8180" max="8180" width="0.7109375" style="5" customWidth="1"/>
    <col min="8181" max="8181" width="11" style="5" customWidth="1"/>
    <col min="8182" max="8182" width="9.140625" style="5"/>
    <col min="8183" max="8183" width="0.7109375" style="5" customWidth="1"/>
    <col min="8184" max="8184" width="16.42578125" style="5" customWidth="1"/>
    <col min="8185" max="8185" width="9.140625" style="5"/>
    <col min="8186" max="8186" width="0.7109375" style="5" customWidth="1"/>
    <col min="8187" max="8187" width="11" style="5" customWidth="1"/>
    <col min="8188" max="8188" width="9.140625" style="5"/>
    <col min="8189" max="8189" width="0.7109375" style="5" customWidth="1"/>
    <col min="8190" max="8190" width="11" style="5" customWidth="1"/>
    <col min="8191" max="8191" width="9.140625" style="5"/>
    <col min="8192" max="8192" width="0.7109375" style="5" customWidth="1"/>
    <col min="8193" max="8193" width="11" style="5" customWidth="1"/>
    <col min="8194" max="8194" width="9.140625" style="5"/>
    <col min="8195" max="8195" width="0.7109375" style="5" customWidth="1"/>
    <col min="8196" max="8196" width="11" style="5" customWidth="1"/>
    <col min="8197" max="8197" width="9.140625" style="5"/>
    <col min="8198" max="8198" width="0.7109375" style="5" customWidth="1"/>
    <col min="8199" max="8199" width="11" style="5" customWidth="1"/>
    <col min="8200" max="8429" width="9.140625" style="5"/>
    <col min="8430" max="8430" width="21.140625" style="5" customWidth="1"/>
    <col min="8431" max="8431" width="11" style="5" customWidth="1"/>
    <col min="8432" max="8432" width="9" style="5" customWidth="1"/>
    <col min="8433" max="8433" width="0.7109375" style="5" customWidth="1"/>
    <col min="8434" max="8434" width="11" style="5" customWidth="1"/>
    <col min="8435" max="8435" width="9.140625" style="5"/>
    <col min="8436" max="8436" width="0.7109375" style="5" customWidth="1"/>
    <col min="8437" max="8437" width="11" style="5" customWidth="1"/>
    <col min="8438" max="8438" width="9.140625" style="5"/>
    <col min="8439" max="8439" width="0.7109375" style="5" customWidth="1"/>
    <col min="8440" max="8440" width="16.42578125" style="5" customWidth="1"/>
    <col min="8441" max="8441" width="9.140625" style="5"/>
    <col min="8442" max="8442" width="0.7109375" style="5" customWidth="1"/>
    <col min="8443" max="8443" width="11" style="5" customWidth="1"/>
    <col min="8444" max="8444" width="9.140625" style="5"/>
    <col min="8445" max="8445" width="0.7109375" style="5" customWidth="1"/>
    <col min="8446" max="8446" width="11" style="5" customWidth="1"/>
    <col min="8447" max="8447" width="9.140625" style="5"/>
    <col min="8448" max="8448" width="0.7109375" style="5" customWidth="1"/>
    <col min="8449" max="8449" width="11" style="5" customWidth="1"/>
    <col min="8450" max="8450" width="9.140625" style="5"/>
    <col min="8451" max="8451" width="0.7109375" style="5" customWidth="1"/>
    <col min="8452" max="8452" width="11" style="5" customWidth="1"/>
    <col min="8453" max="8453" width="9.140625" style="5"/>
    <col min="8454" max="8454" width="0.7109375" style="5" customWidth="1"/>
    <col min="8455" max="8455" width="11" style="5" customWidth="1"/>
    <col min="8456" max="8685" width="9.140625" style="5"/>
    <col min="8686" max="8686" width="21.140625" style="5" customWidth="1"/>
    <col min="8687" max="8687" width="11" style="5" customWidth="1"/>
    <col min="8688" max="8688" width="9" style="5" customWidth="1"/>
    <col min="8689" max="8689" width="0.7109375" style="5" customWidth="1"/>
    <col min="8690" max="8690" width="11" style="5" customWidth="1"/>
    <col min="8691" max="8691" width="9.140625" style="5"/>
    <col min="8692" max="8692" width="0.7109375" style="5" customWidth="1"/>
    <col min="8693" max="8693" width="11" style="5" customWidth="1"/>
    <col min="8694" max="8694" width="9.140625" style="5"/>
    <col min="8695" max="8695" width="0.7109375" style="5" customWidth="1"/>
    <col min="8696" max="8696" width="16.42578125" style="5" customWidth="1"/>
    <col min="8697" max="8697" width="9.140625" style="5"/>
    <col min="8698" max="8698" width="0.7109375" style="5" customWidth="1"/>
    <col min="8699" max="8699" width="11" style="5" customWidth="1"/>
    <col min="8700" max="8700" width="9.140625" style="5"/>
    <col min="8701" max="8701" width="0.7109375" style="5" customWidth="1"/>
    <col min="8702" max="8702" width="11" style="5" customWidth="1"/>
    <col min="8703" max="8703" width="9.140625" style="5"/>
    <col min="8704" max="8704" width="0.7109375" style="5" customWidth="1"/>
    <col min="8705" max="8705" width="11" style="5" customWidth="1"/>
    <col min="8706" max="8706" width="9.140625" style="5"/>
    <col min="8707" max="8707" width="0.7109375" style="5" customWidth="1"/>
    <col min="8708" max="8708" width="11" style="5" customWidth="1"/>
    <col min="8709" max="8709" width="9.140625" style="5"/>
    <col min="8710" max="8710" width="0.7109375" style="5" customWidth="1"/>
    <col min="8711" max="8711" width="11" style="5" customWidth="1"/>
    <col min="8712" max="8941" width="9.140625" style="5"/>
    <col min="8942" max="8942" width="21.140625" style="5" customWidth="1"/>
    <col min="8943" max="8943" width="11" style="5" customWidth="1"/>
    <col min="8944" max="8944" width="9" style="5" customWidth="1"/>
    <col min="8945" max="8945" width="0.7109375" style="5" customWidth="1"/>
    <col min="8946" max="8946" width="11" style="5" customWidth="1"/>
    <col min="8947" max="8947" width="9.140625" style="5"/>
    <col min="8948" max="8948" width="0.7109375" style="5" customWidth="1"/>
    <col min="8949" max="8949" width="11" style="5" customWidth="1"/>
    <col min="8950" max="8950" width="9.140625" style="5"/>
    <col min="8951" max="8951" width="0.7109375" style="5" customWidth="1"/>
    <col min="8952" max="8952" width="16.42578125" style="5" customWidth="1"/>
    <col min="8953" max="8953" width="9.140625" style="5"/>
    <col min="8954" max="8954" width="0.7109375" style="5" customWidth="1"/>
    <col min="8955" max="8955" width="11" style="5" customWidth="1"/>
    <col min="8956" max="8956" width="9.140625" style="5"/>
    <col min="8957" max="8957" width="0.7109375" style="5" customWidth="1"/>
    <col min="8958" max="8958" width="11" style="5" customWidth="1"/>
    <col min="8959" max="8959" width="9.140625" style="5"/>
    <col min="8960" max="8960" width="0.7109375" style="5" customWidth="1"/>
    <col min="8961" max="8961" width="11" style="5" customWidth="1"/>
    <col min="8962" max="8962" width="9.140625" style="5"/>
    <col min="8963" max="8963" width="0.7109375" style="5" customWidth="1"/>
    <col min="8964" max="8964" width="11" style="5" customWidth="1"/>
    <col min="8965" max="8965" width="9.140625" style="5"/>
    <col min="8966" max="8966" width="0.7109375" style="5" customWidth="1"/>
    <col min="8967" max="8967" width="11" style="5" customWidth="1"/>
    <col min="8968" max="9197" width="9.140625" style="5"/>
    <col min="9198" max="9198" width="21.140625" style="5" customWidth="1"/>
    <col min="9199" max="9199" width="11" style="5" customWidth="1"/>
    <col min="9200" max="9200" width="9" style="5" customWidth="1"/>
    <col min="9201" max="9201" width="0.7109375" style="5" customWidth="1"/>
    <col min="9202" max="9202" width="11" style="5" customWidth="1"/>
    <col min="9203" max="9203" width="9.140625" style="5"/>
    <col min="9204" max="9204" width="0.7109375" style="5" customWidth="1"/>
    <col min="9205" max="9205" width="11" style="5" customWidth="1"/>
    <col min="9206" max="9206" width="9.140625" style="5"/>
    <col min="9207" max="9207" width="0.7109375" style="5" customWidth="1"/>
    <col min="9208" max="9208" width="16.42578125" style="5" customWidth="1"/>
    <col min="9209" max="9209" width="9.140625" style="5"/>
    <col min="9210" max="9210" width="0.7109375" style="5" customWidth="1"/>
    <col min="9211" max="9211" width="11" style="5" customWidth="1"/>
    <col min="9212" max="9212" width="9.140625" style="5"/>
    <col min="9213" max="9213" width="0.7109375" style="5" customWidth="1"/>
    <col min="9214" max="9214" width="11" style="5" customWidth="1"/>
    <col min="9215" max="9215" width="9.140625" style="5"/>
    <col min="9216" max="9216" width="0.7109375" style="5" customWidth="1"/>
    <col min="9217" max="9217" width="11" style="5" customWidth="1"/>
    <col min="9218" max="9218" width="9.140625" style="5"/>
    <col min="9219" max="9219" width="0.7109375" style="5" customWidth="1"/>
    <col min="9220" max="9220" width="11" style="5" customWidth="1"/>
    <col min="9221" max="9221" width="9.140625" style="5"/>
    <col min="9222" max="9222" width="0.7109375" style="5" customWidth="1"/>
    <col min="9223" max="9223" width="11" style="5" customWidth="1"/>
    <col min="9224" max="9453" width="9.140625" style="5"/>
    <col min="9454" max="9454" width="21.140625" style="5" customWidth="1"/>
    <col min="9455" max="9455" width="11" style="5" customWidth="1"/>
    <col min="9456" max="9456" width="9" style="5" customWidth="1"/>
    <col min="9457" max="9457" width="0.7109375" style="5" customWidth="1"/>
    <col min="9458" max="9458" width="11" style="5" customWidth="1"/>
    <col min="9459" max="9459" width="9.140625" style="5"/>
    <col min="9460" max="9460" width="0.7109375" style="5" customWidth="1"/>
    <col min="9461" max="9461" width="11" style="5" customWidth="1"/>
    <col min="9462" max="9462" width="9.140625" style="5"/>
    <col min="9463" max="9463" width="0.7109375" style="5" customWidth="1"/>
    <col min="9464" max="9464" width="16.42578125" style="5" customWidth="1"/>
    <col min="9465" max="9465" width="9.140625" style="5"/>
    <col min="9466" max="9466" width="0.7109375" style="5" customWidth="1"/>
    <col min="9467" max="9467" width="11" style="5" customWidth="1"/>
    <col min="9468" max="9468" width="9.140625" style="5"/>
    <col min="9469" max="9469" width="0.7109375" style="5" customWidth="1"/>
    <col min="9470" max="9470" width="11" style="5" customWidth="1"/>
    <col min="9471" max="9471" width="9.140625" style="5"/>
    <col min="9472" max="9472" width="0.7109375" style="5" customWidth="1"/>
    <col min="9473" max="9473" width="11" style="5" customWidth="1"/>
    <col min="9474" max="9474" width="9.140625" style="5"/>
    <col min="9475" max="9475" width="0.7109375" style="5" customWidth="1"/>
    <col min="9476" max="9476" width="11" style="5" customWidth="1"/>
    <col min="9477" max="9477" width="9.140625" style="5"/>
    <col min="9478" max="9478" width="0.7109375" style="5" customWidth="1"/>
    <col min="9479" max="9479" width="11" style="5" customWidth="1"/>
    <col min="9480" max="9709" width="9.140625" style="5"/>
    <col min="9710" max="9710" width="21.140625" style="5" customWidth="1"/>
    <col min="9711" max="9711" width="11" style="5" customWidth="1"/>
    <col min="9712" max="9712" width="9" style="5" customWidth="1"/>
    <col min="9713" max="9713" width="0.7109375" style="5" customWidth="1"/>
    <col min="9714" max="9714" width="11" style="5" customWidth="1"/>
    <col min="9715" max="9715" width="9.140625" style="5"/>
    <col min="9716" max="9716" width="0.7109375" style="5" customWidth="1"/>
    <col min="9717" max="9717" width="11" style="5" customWidth="1"/>
    <col min="9718" max="9718" width="9.140625" style="5"/>
    <col min="9719" max="9719" width="0.7109375" style="5" customWidth="1"/>
    <col min="9720" max="9720" width="16.42578125" style="5" customWidth="1"/>
    <col min="9721" max="9721" width="9.140625" style="5"/>
    <col min="9722" max="9722" width="0.7109375" style="5" customWidth="1"/>
    <col min="9723" max="9723" width="11" style="5" customWidth="1"/>
    <col min="9724" max="9724" width="9.140625" style="5"/>
    <col min="9725" max="9725" width="0.7109375" style="5" customWidth="1"/>
    <col min="9726" max="9726" width="11" style="5" customWidth="1"/>
    <col min="9727" max="9727" width="9.140625" style="5"/>
    <col min="9728" max="9728" width="0.7109375" style="5" customWidth="1"/>
    <col min="9729" max="9729" width="11" style="5" customWidth="1"/>
    <col min="9730" max="9730" width="9.140625" style="5"/>
    <col min="9731" max="9731" width="0.7109375" style="5" customWidth="1"/>
    <col min="9732" max="9732" width="11" style="5" customWidth="1"/>
    <col min="9733" max="9733" width="9.140625" style="5"/>
    <col min="9734" max="9734" width="0.7109375" style="5" customWidth="1"/>
    <col min="9735" max="9735" width="11" style="5" customWidth="1"/>
    <col min="9736" max="9965" width="9.140625" style="5"/>
    <col min="9966" max="9966" width="21.140625" style="5" customWidth="1"/>
    <col min="9967" max="9967" width="11" style="5" customWidth="1"/>
    <col min="9968" max="9968" width="9" style="5" customWidth="1"/>
    <col min="9969" max="9969" width="0.7109375" style="5" customWidth="1"/>
    <col min="9970" max="9970" width="11" style="5" customWidth="1"/>
    <col min="9971" max="9971" width="9.140625" style="5"/>
    <col min="9972" max="9972" width="0.7109375" style="5" customWidth="1"/>
    <col min="9973" max="9973" width="11" style="5" customWidth="1"/>
    <col min="9974" max="9974" width="9.140625" style="5"/>
    <col min="9975" max="9975" width="0.7109375" style="5" customWidth="1"/>
    <col min="9976" max="9976" width="16.42578125" style="5" customWidth="1"/>
    <col min="9977" max="9977" width="9.140625" style="5"/>
    <col min="9978" max="9978" width="0.7109375" style="5" customWidth="1"/>
    <col min="9979" max="9979" width="11" style="5" customWidth="1"/>
    <col min="9980" max="9980" width="9.140625" style="5"/>
    <col min="9981" max="9981" width="0.7109375" style="5" customWidth="1"/>
    <col min="9982" max="9982" width="11" style="5" customWidth="1"/>
    <col min="9983" max="9983" width="9.140625" style="5"/>
    <col min="9984" max="9984" width="0.7109375" style="5" customWidth="1"/>
    <col min="9985" max="9985" width="11" style="5" customWidth="1"/>
    <col min="9986" max="9986" width="9.140625" style="5"/>
    <col min="9987" max="9987" width="0.7109375" style="5" customWidth="1"/>
    <col min="9988" max="9988" width="11" style="5" customWidth="1"/>
    <col min="9989" max="9989" width="9.140625" style="5"/>
    <col min="9990" max="9990" width="0.7109375" style="5" customWidth="1"/>
    <col min="9991" max="9991" width="11" style="5" customWidth="1"/>
    <col min="9992" max="10221" width="9.140625" style="5"/>
    <col min="10222" max="10222" width="21.140625" style="5" customWidth="1"/>
    <col min="10223" max="10223" width="11" style="5" customWidth="1"/>
    <col min="10224" max="10224" width="9" style="5" customWidth="1"/>
    <col min="10225" max="10225" width="0.7109375" style="5" customWidth="1"/>
    <col min="10226" max="10226" width="11" style="5" customWidth="1"/>
    <col min="10227" max="10227" width="9.140625" style="5"/>
    <col min="10228" max="10228" width="0.7109375" style="5" customWidth="1"/>
    <col min="10229" max="10229" width="11" style="5" customWidth="1"/>
    <col min="10230" max="10230" width="9.140625" style="5"/>
    <col min="10231" max="10231" width="0.7109375" style="5" customWidth="1"/>
    <col min="10232" max="10232" width="16.42578125" style="5" customWidth="1"/>
    <col min="10233" max="10233" width="9.140625" style="5"/>
    <col min="10234" max="10234" width="0.7109375" style="5" customWidth="1"/>
    <col min="10235" max="10235" width="11" style="5" customWidth="1"/>
    <col min="10236" max="10236" width="9.140625" style="5"/>
    <col min="10237" max="10237" width="0.7109375" style="5" customWidth="1"/>
    <col min="10238" max="10238" width="11" style="5" customWidth="1"/>
    <col min="10239" max="10239" width="9.140625" style="5"/>
    <col min="10240" max="10240" width="0.7109375" style="5" customWidth="1"/>
    <col min="10241" max="10241" width="11" style="5" customWidth="1"/>
    <col min="10242" max="10242" width="9.140625" style="5"/>
    <col min="10243" max="10243" width="0.7109375" style="5" customWidth="1"/>
    <col min="10244" max="10244" width="11" style="5" customWidth="1"/>
    <col min="10245" max="10245" width="9.140625" style="5"/>
    <col min="10246" max="10246" width="0.7109375" style="5" customWidth="1"/>
    <col min="10247" max="10247" width="11" style="5" customWidth="1"/>
    <col min="10248" max="10477" width="9.140625" style="5"/>
    <col min="10478" max="10478" width="21.140625" style="5" customWidth="1"/>
    <col min="10479" max="10479" width="11" style="5" customWidth="1"/>
    <col min="10480" max="10480" width="9" style="5" customWidth="1"/>
    <col min="10481" max="10481" width="0.7109375" style="5" customWidth="1"/>
    <col min="10482" max="10482" width="11" style="5" customWidth="1"/>
    <col min="10483" max="10483" width="9.140625" style="5"/>
    <col min="10484" max="10484" width="0.7109375" style="5" customWidth="1"/>
    <col min="10485" max="10485" width="11" style="5" customWidth="1"/>
    <col min="10486" max="10486" width="9.140625" style="5"/>
    <col min="10487" max="10487" width="0.7109375" style="5" customWidth="1"/>
    <col min="10488" max="10488" width="16.42578125" style="5" customWidth="1"/>
    <col min="10489" max="10489" width="9.140625" style="5"/>
    <col min="10490" max="10490" width="0.7109375" style="5" customWidth="1"/>
    <col min="10491" max="10491" width="11" style="5" customWidth="1"/>
    <col min="10492" max="10492" width="9.140625" style="5"/>
    <col min="10493" max="10493" width="0.7109375" style="5" customWidth="1"/>
    <col min="10494" max="10494" width="11" style="5" customWidth="1"/>
    <col min="10495" max="10495" width="9.140625" style="5"/>
    <col min="10496" max="10496" width="0.7109375" style="5" customWidth="1"/>
    <col min="10497" max="10497" width="11" style="5" customWidth="1"/>
    <col min="10498" max="10498" width="9.140625" style="5"/>
    <col min="10499" max="10499" width="0.7109375" style="5" customWidth="1"/>
    <col min="10500" max="10500" width="11" style="5" customWidth="1"/>
    <col min="10501" max="10501" width="9.140625" style="5"/>
    <col min="10502" max="10502" width="0.7109375" style="5" customWidth="1"/>
    <col min="10503" max="10503" width="11" style="5" customWidth="1"/>
    <col min="10504" max="10733" width="9.140625" style="5"/>
    <col min="10734" max="10734" width="21.140625" style="5" customWidth="1"/>
    <col min="10735" max="10735" width="11" style="5" customWidth="1"/>
    <col min="10736" max="10736" width="9" style="5" customWidth="1"/>
    <col min="10737" max="10737" width="0.7109375" style="5" customWidth="1"/>
    <col min="10738" max="10738" width="11" style="5" customWidth="1"/>
    <col min="10739" max="10739" width="9.140625" style="5"/>
    <col min="10740" max="10740" width="0.7109375" style="5" customWidth="1"/>
    <col min="10741" max="10741" width="11" style="5" customWidth="1"/>
    <col min="10742" max="10742" width="9.140625" style="5"/>
    <col min="10743" max="10743" width="0.7109375" style="5" customWidth="1"/>
    <col min="10744" max="10744" width="16.42578125" style="5" customWidth="1"/>
    <col min="10745" max="10745" width="9.140625" style="5"/>
    <col min="10746" max="10746" width="0.7109375" style="5" customWidth="1"/>
    <col min="10747" max="10747" width="11" style="5" customWidth="1"/>
    <col min="10748" max="10748" width="9.140625" style="5"/>
    <col min="10749" max="10749" width="0.7109375" style="5" customWidth="1"/>
    <col min="10750" max="10750" width="11" style="5" customWidth="1"/>
    <col min="10751" max="10751" width="9.140625" style="5"/>
    <col min="10752" max="10752" width="0.7109375" style="5" customWidth="1"/>
    <col min="10753" max="10753" width="11" style="5" customWidth="1"/>
    <col min="10754" max="10754" width="9.140625" style="5"/>
    <col min="10755" max="10755" width="0.7109375" style="5" customWidth="1"/>
    <col min="10756" max="10756" width="11" style="5" customWidth="1"/>
    <col min="10757" max="10757" width="9.140625" style="5"/>
    <col min="10758" max="10758" width="0.7109375" style="5" customWidth="1"/>
    <col min="10759" max="10759" width="11" style="5" customWidth="1"/>
    <col min="10760" max="10989" width="9.140625" style="5"/>
    <col min="10990" max="10990" width="21.140625" style="5" customWidth="1"/>
    <col min="10991" max="10991" width="11" style="5" customWidth="1"/>
    <col min="10992" max="10992" width="9" style="5" customWidth="1"/>
    <col min="10993" max="10993" width="0.7109375" style="5" customWidth="1"/>
    <col min="10994" max="10994" width="11" style="5" customWidth="1"/>
    <col min="10995" max="10995" width="9.140625" style="5"/>
    <col min="10996" max="10996" width="0.7109375" style="5" customWidth="1"/>
    <col min="10997" max="10997" width="11" style="5" customWidth="1"/>
    <col min="10998" max="10998" width="9.140625" style="5"/>
    <col min="10999" max="10999" width="0.7109375" style="5" customWidth="1"/>
    <col min="11000" max="11000" width="16.42578125" style="5" customWidth="1"/>
    <col min="11001" max="11001" width="9.140625" style="5"/>
    <col min="11002" max="11002" width="0.7109375" style="5" customWidth="1"/>
    <col min="11003" max="11003" width="11" style="5" customWidth="1"/>
    <col min="11004" max="11004" width="9.140625" style="5"/>
    <col min="11005" max="11005" width="0.7109375" style="5" customWidth="1"/>
    <col min="11006" max="11006" width="11" style="5" customWidth="1"/>
    <col min="11007" max="11007" width="9.140625" style="5"/>
    <col min="11008" max="11008" width="0.7109375" style="5" customWidth="1"/>
    <col min="11009" max="11009" width="11" style="5" customWidth="1"/>
    <col min="11010" max="11010" width="9.140625" style="5"/>
    <col min="11011" max="11011" width="0.7109375" style="5" customWidth="1"/>
    <col min="11012" max="11012" width="11" style="5" customWidth="1"/>
    <col min="11013" max="11013" width="9.140625" style="5"/>
    <col min="11014" max="11014" width="0.7109375" style="5" customWidth="1"/>
    <col min="11015" max="11015" width="11" style="5" customWidth="1"/>
    <col min="11016" max="11245" width="9.140625" style="5"/>
    <col min="11246" max="11246" width="21.140625" style="5" customWidth="1"/>
    <col min="11247" max="11247" width="11" style="5" customWidth="1"/>
    <col min="11248" max="11248" width="9" style="5" customWidth="1"/>
    <col min="11249" max="11249" width="0.7109375" style="5" customWidth="1"/>
    <col min="11250" max="11250" width="11" style="5" customWidth="1"/>
    <col min="11251" max="11251" width="9.140625" style="5"/>
    <col min="11252" max="11252" width="0.7109375" style="5" customWidth="1"/>
    <col min="11253" max="11253" width="11" style="5" customWidth="1"/>
    <col min="11254" max="11254" width="9.140625" style="5"/>
    <col min="11255" max="11255" width="0.7109375" style="5" customWidth="1"/>
    <col min="11256" max="11256" width="16.42578125" style="5" customWidth="1"/>
    <col min="11257" max="11257" width="9.140625" style="5"/>
    <col min="11258" max="11258" width="0.7109375" style="5" customWidth="1"/>
    <col min="11259" max="11259" width="11" style="5" customWidth="1"/>
    <col min="11260" max="11260" width="9.140625" style="5"/>
    <col min="11261" max="11261" width="0.7109375" style="5" customWidth="1"/>
    <col min="11262" max="11262" width="11" style="5" customWidth="1"/>
    <col min="11263" max="11263" width="9.140625" style="5"/>
    <col min="11264" max="11264" width="0.7109375" style="5" customWidth="1"/>
    <col min="11265" max="11265" width="11" style="5" customWidth="1"/>
    <col min="11266" max="11266" width="9.140625" style="5"/>
    <col min="11267" max="11267" width="0.7109375" style="5" customWidth="1"/>
    <col min="11268" max="11268" width="11" style="5" customWidth="1"/>
    <col min="11269" max="11269" width="9.140625" style="5"/>
    <col min="11270" max="11270" width="0.7109375" style="5" customWidth="1"/>
    <col min="11271" max="11271" width="11" style="5" customWidth="1"/>
    <col min="11272" max="11501" width="9.140625" style="5"/>
    <col min="11502" max="11502" width="21.140625" style="5" customWidth="1"/>
    <col min="11503" max="11503" width="11" style="5" customWidth="1"/>
    <col min="11504" max="11504" width="9" style="5" customWidth="1"/>
    <col min="11505" max="11505" width="0.7109375" style="5" customWidth="1"/>
    <col min="11506" max="11506" width="11" style="5" customWidth="1"/>
    <col min="11507" max="11507" width="9.140625" style="5"/>
    <col min="11508" max="11508" width="0.7109375" style="5" customWidth="1"/>
    <col min="11509" max="11509" width="11" style="5" customWidth="1"/>
    <col min="11510" max="11510" width="9.140625" style="5"/>
    <col min="11511" max="11511" width="0.7109375" style="5" customWidth="1"/>
    <col min="11512" max="11512" width="16.42578125" style="5" customWidth="1"/>
    <col min="11513" max="11513" width="9.140625" style="5"/>
    <col min="11514" max="11514" width="0.7109375" style="5" customWidth="1"/>
    <col min="11515" max="11515" width="11" style="5" customWidth="1"/>
    <col min="11516" max="11516" width="9.140625" style="5"/>
    <col min="11517" max="11517" width="0.7109375" style="5" customWidth="1"/>
    <col min="11518" max="11518" width="11" style="5" customWidth="1"/>
    <col min="11519" max="11519" width="9.140625" style="5"/>
    <col min="11520" max="11520" width="0.7109375" style="5" customWidth="1"/>
    <col min="11521" max="11521" width="11" style="5" customWidth="1"/>
    <col min="11522" max="11522" width="9.140625" style="5"/>
    <col min="11523" max="11523" width="0.7109375" style="5" customWidth="1"/>
    <col min="11524" max="11524" width="11" style="5" customWidth="1"/>
    <col min="11525" max="11525" width="9.140625" style="5"/>
    <col min="11526" max="11526" width="0.7109375" style="5" customWidth="1"/>
    <col min="11527" max="11527" width="11" style="5" customWidth="1"/>
    <col min="11528" max="11757" width="9.140625" style="5"/>
    <col min="11758" max="11758" width="21.140625" style="5" customWidth="1"/>
    <col min="11759" max="11759" width="11" style="5" customWidth="1"/>
    <col min="11760" max="11760" width="9" style="5" customWidth="1"/>
    <col min="11761" max="11761" width="0.7109375" style="5" customWidth="1"/>
    <col min="11762" max="11762" width="11" style="5" customWidth="1"/>
    <col min="11763" max="11763" width="9.140625" style="5"/>
    <col min="11764" max="11764" width="0.7109375" style="5" customWidth="1"/>
    <col min="11765" max="11765" width="11" style="5" customWidth="1"/>
    <col min="11766" max="11766" width="9.140625" style="5"/>
    <col min="11767" max="11767" width="0.7109375" style="5" customWidth="1"/>
    <col min="11768" max="11768" width="16.42578125" style="5" customWidth="1"/>
    <col min="11769" max="11769" width="9.140625" style="5"/>
    <col min="11770" max="11770" width="0.7109375" style="5" customWidth="1"/>
    <col min="11771" max="11771" width="11" style="5" customWidth="1"/>
    <col min="11772" max="11772" width="9.140625" style="5"/>
    <col min="11773" max="11773" width="0.7109375" style="5" customWidth="1"/>
    <col min="11774" max="11774" width="11" style="5" customWidth="1"/>
    <col min="11775" max="11775" width="9.140625" style="5"/>
    <col min="11776" max="11776" width="0.7109375" style="5" customWidth="1"/>
    <col min="11777" max="11777" width="11" style="5" customWidth="1"/>
    <col min="11778" max="11778" width="9.140625" style="5"/>
    <col min="11779" max="11779" width="0.7109375" style="5" customWidth="1"/>
    <col min="11780" max="11780" width="11" style="5" customWidth="1"/>
    <col min="11781" max="11781" width="9.140625" style="5"/>
    <col min="11782" max="11782" width="0.7109375" style="5" customWidth="1"/>
    <col min="11783" max="11783" width="11" style="5" customWidth="1"/>
    <col min="11784" max="12013" width="9.140625" style="5"/>
    <col min="12014" max="12014" width="21.140625" style="5" customWidth="1"/>
    <col min="12015" max="12015" width="11" style="5" customWidth="1"/>
    <col min="12016" max="12016" width="9" style="5" customWidth="1"/>
    <col min="12017" max="12017" width="0.7109375" style="5" customWidth="1"/>
    <col min="12018" max="12018" width="11" style="5" customWidth="1"/>
    <col min="12019" max="12019" width="9.140625" style="5"/>
    <col min="12020" max="12020" width="0.7109375" style="5" customWidth="1"/>
    <col min="12021" max="12021" width="11" style="5" customWidth="1"/>
    <col min="12022" max="12022" width="9.140625" style="5"/>
    <col min="12023" max="12023" width="0.7109375" style="5" customWidth="1"/>
    <col min="12024" max="12024" width="16.42578125" style="5" customWidth="1"/>
    <col min="12025" max="12025" width="9.140625" style="5"/>
    <col min="12026" max="12026" width="0.7109375" style="5" customWidth="1"/>
    <col min="12027" max="12027" width="11" style="5" customWidth="1"/>
    <col min="12028" max="12028" width="9.140625" style="5"/>
    <col min="12029" max="12029" width="0.7109375" style="5" customWidth="1"/>
    <col min="12030" max="12030" width="11" style="5" customWidth="1"/>
    <col min="12031" max="12031" width="9.140625" style="5"/>
    <col min="12032" max="12032" width="0.7109375" style="5" customWidth="1"/>
    <col min="12033" max="12033" width="11" style="5" customWidth="1"/>
    <col min="12034" max="12034" width="9.140625" style="5"/>
    <col min="12035" max="12035" width="0.7109375" style="5" customWidth="1"/>
    <col min="12036" max="12036" width="11" style="5" customWidth="1"/>
    <col min="12037" max="12037" width="9.140625" style="5"/>
    <col min="12038" max="12038" width="0.7109375" style="5" customWidth="1"/>
    <col min="12039" max="12039" width="11" style="5" customWidth="1"/>
    <col min="12040" max="12269" width="9.140625" style="5"/>
    <col min="12270" max="12270" width="21.140625" style="5" customWidth="1"/>
    <col min="12271" max="12271" width="11" style="5" customWidth="1"/>
    <col min="12272" max="12272" width="9" style="5" customWidth="1"/>
    <col min="12273" max="12273" width="0.7109375" style="5" customWidth="1"/>
    <col min="12274" max="12274" width="11" style="5" customWidth="1"/>
    <col min="12275" max="12275" width="9.140625" style="5"/>
    <col min="12276" max="12276" width="0.7109375" style="5" customWidth="1"/>
    <col min="12277" max="12277" width="11" style="5" customWidth="1"/>
    <col min="12278" max="12278" width="9.140625" style="5"/>
    <col min="12279" max="12279" width="0.7109375" style="5" customWidth="1"/>
    <col min="12280" max="12280" width="16.42578125" style="5" customWidth="1"/>
    <col min="12281" max="12281" width="9.140625" style="5"/>
    <col min="12282" max="12282" width="0.7109375" style="5" customWidth="1"/>
    <col min="12283" max="12283" width="11" style="5" customWidth="1"/>
    <col min="12284" max="12284" width="9.140625" style="5"/>
    <col min="12285" max="12285" width="0.7109375" style="5" customWidth="1"/>
    <col min="12286" max="12286" width="11" style="5" customWidth="1"/>
    <col min="12287" max="12287" width="9.140625" style="5"/>
    <col min="12288" max="12288" width="0.7109375" style="5" customWidth="1"/>
    <col min="12289" max="12289" width="11" style="5" customWidth="1"/>
    <col min="12290" max="12290" width="9.140625" style="5"/>
    <col min="12291" max="12291" width="0.7109375" style="5" customWidth="1"/>
    <col min="12292" max="12292" width="11" style="5" customWidth="1"/>
    <col min="12293" max="12293" width="9.140625" style="5"/>
    <col min="12294" max="12294" width="0.7109375" style="5" customWidth="1"/>
    <col min="12295" max="12295" width="11" style="5" customWidth="1"/>
    <col min="12296" max="12525" width="9.140625" style="5"/>
    <col min="12526" max="12526" width="21.140625" style="5" customWidth="1"/>
    <col min="12527" max="12527" width="11" style="5" customWidth="1"/>
    <col min="12528" max="12528" width="9" style="5" customWidth="1"/>
    <col min="12529" max="12529" width="0.7109375" style="5" customWidth="1"/>
    <col min="12530" max="12530" width="11" style="5" customWidth="1"/>
    <col min="12531" max="12531" width="9.140625" style="5"/>
    <col min="12532" max="12532" width="0.7109375" style="5" customWidth="1"/>
    <col min="12533" max="12533" width="11" style="5" customWidth="1"/>
    <col min="12534" max="12534" width="9.140625" style="5"/>
    <col min="12535" max="12535" width="0.7109375" style="5" customWidth="1"/>
    <col min="12536" max="12536" width="16.42578125" style="5" customWidth="1"/>
    <col min="12537" max="12537" width="9.140625" style="5"/>
    <col min="12538" max="12538" width="0.7109375" style="5" customWidth="1"/>
    <col min="12539" max="12539" width="11" style="5" customWidth="1"/>
    <col min="12540" max="12540" width="9.140625" style="5"/>
    <col min="12541" max="12541" width="0.7109375" style="5" customWidth="1"/>
    <col min="12542" max="12542" width="11" style="5" customWidth="1"/>
    <col min="12543" max="12543" width="9.140625" style="5"/>
    <col min="12544" max="12544" width="0.7109375" style="5" customWidth="1"/>
    <col min="12545" max="12545" width="11" style="5" customWidth="1"/>
    <col min="12546" max="12546" width="9.140625" style="5"/>
    <col min="12547" max="12547" width="0.7109375" style="5" customWidth="1"/>
    <col min="12548" max="12548" width="11" style="5" customWidth="1"/>
    <col min="12549" max="12549" width="9.140625" style="5"/>
    <col min="12550" max="12550" width="0.7109375" style="5" customWidth="1"/>
    <col min="12551" max="12551" width="11" style="5" customWidth="1"/>
    <col min="12552" max="12781" width="9.140625" style="5"/>
    <col min="12782" max="12782" width="21.140625" style="5" customWidth="1"/>
    <col min="12783" max="12783" width="11" style="5" customWidth="1"/>
    <col min="12784" max="12784" width="9" style="5" customWidth="1"/>
    <col min="12785" max="12785" width="0.7109375" style="5" customWidth="1"/>
    <col min="12786" max="12786" width="11" style="5" customWidth="1"/>
    <col min="12787" max="12787" width="9.140625" style="5"/>
    <col min="12788" max="12788" width="0.7109375" style="5" customWidth="1"/>
    <col min="12789" max="12789" width="11" style="5" customWidth="1"/>
    <col min="12790" max="12790" width="9.140625" style="5"/>
    <col min="12791" max="12791" width="0.7109375" style="5" customWidth="1"/>
    <col min="12792" max="12792" width="16.42578125" style="5" customWidth="1"/>
    <col min="12793" max="12793" width="9.140625" style="5"/>
    <col min="12794" max="12794" width="0.7109375" style="5" customWidth="1"/>
    <col min="12795" max="12795" width="11" style="5" customWidth="1"/>
    <col min="12796" max="12796" width="9.140625" style="5"/>
    <col min="12797" max="12797" width="0.7109375" style="5" customWidth="1"/>
    <col min="12798" max="12798" width="11" style="5" customWidth="1"/>
    <col min="12799" max="12799" width="9.140625" style="5"/>
    <col min="12800" max="12800" width="0.7109375" style="5" customWidth="1"/>
    <col min="12801" max="12801" width="11" style="5" customWidth="1"/>
    <col min="12802" max="12802" width="9.140625" style="5"/>
    <col min="12803" max="12803" width="0.7109375" style="5" customWidth="1"/>
    <col min="12804" max="12804" width="11" style="5" customWidth="1"/>
    <col min="12805" max="12805" width="9.140625" style="5"/>
    <col min="12806" max="12806" width="0.7109375" style="5" customWidth="1"/>
    <col min="12807" max="12807" width="11" style="5" customWidth="1"/>
    <col min="12808" max="13037" width="9.140625" style="5"/>
    <col min="13038" max="13038" width="21.140625" style="5" customWidth="1"/>
    <col min="13039" max="13039" width="11" style="5" customWidth="1"/>
    <col min="13040" max="13040" width="9" style="5" customWidth="1"/>
    <col min="13041" max="13041" width="0.7109375" style="5" customWidth="1"/>
    <col min="13042" max="13042" width="11" style="5" customWidth="1"/>
    <col min="13043" max="13043" width="9.140625" style="5"/>
    <col min="13044" max="13044" width="0.7109375" style="5" customWidth="1"/>
    <col min="13045" max="13045" width="11" style="5" customWidth="1"/>
    <col min="13046" max="13046" width="9.140625" style="5"/>
    <col min="13047" max="13047" width="0.7109375" style="5" customWidth="1"/>
    <col min="13048" max="13048" width="16.42578125" style="5" customWidth="1"/>
    <col min="13049" max="13049" width="9.140625" style="5"/>
    <col min="13050" max="13050" width="0.7109375" style="5" customWidth="1"/>
    <col min="13051" max="13051" width="11" style="5" customWidth="1"/>
    <col min="13052" max="13052" width="9.140625" style="5"/>
    <col min="13053" max="13053" width="0.7109375" style="5" customWidth="1"/>
    <col min="13054" max="13054" width="11" style="5" customWidth="1"/>
    <col min="13055" max="13055" width="9.140625" style="5"/>
    <col min="13056" max="13056" width="0.7109375" style="5" customWidth="1"/>
    <col min="13057" max="13057" width="11" style="5" customWidth="1"/>
    <col min="13058" max="13058" width="9.140625" style="5"/>
    <col min="13059" max="13059" width="0.7109375" style="5" customWidth="1"/>
    <col min="13060" max="13060" width="11" style="5" customWidth="1"/>
    <col min="13061" max="13061" width="9.140625" style="5"/>
    <col min="13062" max="13062" width="0.7109375" style="5" customWidth="1"/>
    <col min="13063" max="13063" width="11" style="5" customWidth="1"/>
    <col min="13064" max="13293" width="9.140625" style="5"/>
    <col min="13294" max="13294" width="21.140625" style="5" customWidth="1"/>
    <col min="13295" max="13295" width="11" style="5" customWidth="1"/>
    <col min="13296" max="13296" width="9" style="5" customWidth="1"/>
    <col min="13297" max="13297" width="0.7109375" style="5" customWidth="1"/>
    <col min="13298" max="13298" width="11" style="5" customWidth="1"/>
    <col min="13299" max="13299" width="9.140625" style="5"/>
    <col min="13300" max="13300" width="0.7109375" style="5" customWidth="1"/>
    <col min="13301" max="13301" width="11" style="5" customWidth="1"/>
    <col min="13302" max="13302" width="9.140625" style="5"/>
    <col min="13303" max="13303" width="0.7109375" style="5" customWidth="1"/>
    <col min="13304" max="13304" width="16.42578125" style="5" customWidth="1"/>
    <col min="13305" max="13305" width="9.140625" style="5"/>
    <col min="13306" max="13306" width="0.7109375" style="5" customWidth="1"/>
    <col min="13307" max="13307" width="11" style="5" customWidth="1"/>
    <col min="13308" max="13308" width="9.140625" style="5"/>
    <col min="13309" max="13309" width="0.7109375" style="5" customWidth="1"/>
    <col min="13310" max="13310" width="11" style="5" customWidth="1"/>
    <col min="13311" max="13311" width="9.140625" style="5"/>
    <col min="13312" max="13312" width="0.7109375" style="5" customWidth="1"/>
    <col min="13313" max="13313" width="11" style="5" customWidth="1"/>
    <col min="13314" max="13314" width="9.140625" style="5"/>
    <col min="13315" max="13315" width="0.7109375" style="5" customWidth="1"/>
    <col min="13316" max="13316" width="11" style="5" customWidth="1"/>
    <col min="13317" max="13317" width="9.140625" style="5"/>
    <col min="13318" max="13318" width="0.7109375" style="5" customWidth="1"/>
    <col min="13319" max="13319" width="11" style="5" customWidth="1"/>
    <col min="13320" max="13549" width="9.140625" style="5"/>
    <col min="13550" max="13550" width="21.140625" style="5" customWidth="1"/>
    <col min="13551" max="13551" width="11" style="5" customWidth="1"/>
    <col min="13552" max="13552" width="9" style="5" customWidth="1"/>
    <col min="13553" max="13553" width="0.7109375" style="5" customWidth="1"/>
    <col min="13554" max="13554" width="11" style="5" customWidth="1"/>
    <col min="13555" max="13555" width="9.140625" style="5"/>
    <col min="13556" max="13556" width="0.7109375" style="5" customWidth="1"/>
    <col min="13557" max="13557" width="11" style="5" customWidth="1"/>
    <col min="13558" max="13558" width="9.140625" style="5"/>
    <col min="13559" max="13559" width="0.7109375" style="5" customWidth="1"/>
    <col min="13560" max="13560" width="16.42578125" style="5" customWidth="1"/>
    <col min="13561" max="13561" width="9.140625" style="5"/>
    <col min="13562" max="13562" width="0.7109375" style="5" customWidth="1"/>
    <col min="13563" max="13563" width="11" style="5" customWidth="1"/>
    <col min="13564" max="13564" width="9.140625" style="5"/>
    <col min="13565" max="13565" width="0.7109375" style="5" customWidth="1"/>
    <col min="13566" max="13566" width="11" style="5" customWidth="1"/>
    <col min="13567" max="13567" width="9.140625" style="5"/>
    <col min="13568" max="13568" width="0.7109375" style="5" customWidth="1"/>
    <col min="13569" max="13569" width="11" style="5" customWidth="1"/>
    <col min="13570" max="13570" width="9.140625" style="5"/>
    <col min="13571" max="13571" width="0.7109375" style="5" customWidth="1"/>
    <col min="13572" max="13572" width="11" style="5" customWidth="1"/>
    <col min="13573" max="13573" width="9.140625" style="5"/>
    <col min="13574" max="13574" width="0.7109375" style="5" customWidth="1"/>
    <col min="13575" max="13575" width="11" style="5" customWidth="1"/>
    <col min="13576" max="13805" width="9.140625" style="5"/>
    <col min="13806" max="13806" width="21.140625" style="5" customWidth="1"/>
    <col min="13807" max="13807" width="11" style="5" customWidth="1"/>
    <col min="13808" max="13808" width="9" style="5" customWidth="1"/>
    <col min="13809" max="13809" width="0.7109375" style="5" customWidth="1"/>
    <col min="13810" max="13810" width="11" style="5" customWidth="1"/>
    <col min="13811" max="13811" width="9.140625" style="5"/>
    <col min="13812" max="13812" width="0.7109375" style="5" customWidth="1"/>
    <col min="13813" max="13813" width="11" style="5" customWidth="1"/>
    <col min="13814" max="13814" width="9.140625" style="5"/>
    <col min="13815" max="13815" width="0.7109375" style="5" customWidth="1"/>
    <col min="13816" max="13816" width="16.42578125" style="5" customWidth="1"/>
    <col min="13817" max="13817" width="9.140625" style="5"/>
    <col min="13818" max="13818" width="0.7109375" style="5" customWidth="1"/>
    <col min="13819" max="13819" width="11" style="5" customWidth="1"/>
    <col min="13820" max="13820" width="9.140625" style="5"/>
    <col min="13821" max="13821" width="0.7109375" style="5" customWidth="1"/>
    <col min="13822" max="13822" width="11" style="5" customWidth="1"/>
    <col min="13823" max="13823" width="9.140625" style="5"/>
    <col min="13824" max="13824" width="0.7109375" style="5" customWidth="1"/>
    <col min="13825" max="13825" width="11" style="5" customWidth="1"/>
    <col min="13826" max="13826" width="9.140625" style="5"/>
    <col min="13827" max="13827" width="0.7109375" style="5" customWidth="1"/>
    <col min="13828" max="13828" width="11" style="5" customWidth="1"/>
    <col min="13829" max="13829" width="9.140625" style="5"/>
    <col min="13830" max="13830" width="0.7109375" style="5" customWidth="1"/>
    <col min="13831" max="13831" width="11" style="5" customWidth="1"/>
    <col min="13832" max="14061" width="9.140625" style="5"/>
    <col min="14062" max="14062" width="21.140625" style="5" customWidth="1"/>
    <col min="14063" max="14063" width="11" style="5" customWidth="1"/>
    <col min="14064" max="14064" width="9" style="5" customWidth="1"/>
    <col min="14065" max="14065" width="0.7109375" style="5" customWidth="1"/>
    <col min="14066" max="14066" width="11" style="5" customWidth="1"/>
    <col min="14067" max="14067" width="9.140625" style="5"/>
    <col min="14068" max="14068" width="0.7109375" style="5" customWidth="1"/>
    <col min="14069" max="14069" width="11" style="5" customWidth="1"/>
    <col min="14070" max="14070" width="9.140625" style="5"/>
    <col min="14071" max="14071" width="0.7109375" style="5" customWidth="1"/>
    <col min="14072" max="14072" width="16.42578125" style="5" customWidth="1"/>
    <col min="14073" max="14073" width="9.140625" style="5"/>
    <col min="14074" max="14074" width="0.7109375" style="5" customWidth="1"/>
    <col min="14075" max="14075" width="11" style="5" customWidth="1"/>
    <col min="14076" max="14076" width="9.140625" style="5"/>
    <col min="14077" max="14077" width="0.7109375" style="5" customWidth="1"/>
    <col min="14078" max="14078" width="11" style="5" customWidth="1"/>
    <col min="14079" max="14079" width="9.140625" style="5"/>
    <col min="14080" max="14080" width="0.7109375" style="5" customWidth="1"/>
    <col min="14081" max="14081" width="11" style="5" customWidth="1"/>
    <col min="14082" max="14082" width="9.140625" style="5"/>
    <col min="14083" max="14083" width="0.7109375" style="5" customWidth="1"/>
    <col min="14084" max="14084" width="11" style="5" customWidth="1"/>
    <col min="14085" max="14085" width="9.140625" style="5"/>
    <col min="14086" max="14086" width="0.7109375" style="5" customWidth="1"/>
    <col min="14087" max="14087" width="11" style="5" customWidth="1"/>
    <col min="14088" max="14317" width="9.140625" style="5"/>
    <col min="14318" max="14318" width="21.140625" style="5" customWidth="1"/>
    <col min="14319" max="14319" width="11" style="5" customWidth="1"/>
    <col min="14320" max="14320" width="9" style="5" customWidth="1"/>
    <col min="14321" max="14321" width="0.7109375" style="5" customWidth="1"/>
    <col min="14322" max="14322" width="11" style="5" customWidth="1"/>
    <col min="14323" max="14323" width="9.140625" style="5"/>
    <col min="14324" max="14324" width="0.7109375" style="5" customWidth="1"/>
    <col min="14325" max="14325" width="11" style="5" customWidth="1"/>
    <col min="14326" max="14326" width="9.140625" style="5"/>
    <col min="14327" max="14327" width="0.7109375" style="5" customWidth="1"/>
    <col min="14328" max="14328" width="16.42578125" style="5" customWidth="1"/>
    <col min="14329" max="14329" width="9.140625" style="5"/>
    <col min="14330" max="14330" width="0.7109375" style="5" customWidth="1"/>
    <col min="14331" max="14331" width="11" style="5" customWidth="1"/>
    <col min="14332" max="14332" width="9.140625" style="5"/>
    <col min="14333" max="14333" width="0.7109375" style="5" customWidth="1"/>
    <col min="14334" max="14334" width="11" style="5" customWidth="1"/>
    <col min="14335" max="14335" width="9.140625" style="5"/>
    <col min="14336" max="14336" width="0.7109375" style="5" customWidth="1"/>
    <col min="14337" max="14337" width="11" style="5" customWidth="1"/>
    <col min="14338" max="14338" width="9.140625" style="5"/>
    <col min="14339" max="14339" width="0.7109375" style="5" customWidth="1"/>
    <col min="14340" max="14340" width="11" style="5" customWidth="1"/>
    <col min="14341" max="14341" width="9.140625" style="5"/>
    <col min="14342" max="14342" width="0.7109375" style="5" customWidth="1"/>
    <col min="14343" max="14343" width="11" style="5" customWidth="1"/>
    <col min="14344" max="14573" width="9.140625" style="5"/>
    <col min="14574" max="14574" width="21.140625" style="5" customWidth="1"/>
    <col min="14575" max="14575" width="11" style="5" customWidth="1"/>
    <col min="14576" max="14576" width="9" style="5" customWidth="1"/>
    <col min="14577" max="14577" width="0.7109375" style="5" customWidth="1"/>
    <col min="14578" max="14578" width="11" style="5" customWidth="1"/>
    <col min="14579" max="14579" width="9.140625" style="5"/>
    <col min="14580" max="14580" width="0.7109375" style="5" customWidth="1"/>
    <col min="14581" max="14581" width="11" style="5" customWidth="1"/>
    <col min="14582" max="14582" width="9.140625" style="5"/>
    <col min="14583" max="14583" width="0.7109375" style="5" customWidth="1"/>
    <col min="14584" max="14584" width="16.42578125" style="5" customWidth="1"/>
    <col min="14585" max="14585" width="9.140625" style="5"/>
    <col min="14586" max="14586" width="0.7109375" style="5" customWidth="1"/>
    <col min="14587" max="14587" width="11" style="5" customWidth="1"/>
    <col min="14588" max="14588" width="9.140625" style="5"/>
    <col min="14589" max="14589" width="0.7109375" style="5" customWidth="1"/>
    <col min="14590" max="14590" width="11" style="5" customWidth="1"/>
    <col min="14591" max="14591" width="9.140625" style="5"/>
    <col min="14592" max="14592" width="0.7109375" style="5" customWidth="1"/>
    <col min="14593" max="14593" width="11" style="5" customWidth="1"/>
    <col min="14594" max="14594" width="9.140625" style="5"/>
    <col min="14595" max="14595" width="0.7109375" style="5" customWidth="1"/>
    <col min="14596" max="14596" width="11" style="5" customWidth="1"/>
    <col min="14597" max="14597" width="9.140625" style="5"/>
    <col min="14598" max="14598" width="0.7109375" style="5" customWidth="1"/>
    <col min="14599" max="14599" width="11" style="5" customWidth="1"/>
    <col min="14600" max="14829" width="9.140625" style="5"/>
    <col min="14830" max="14830" width="21.140625" style="5" customWidth="1"/>
    <col min="14831" max="14831" width="11" style="5" customWidth="1"/>
    <col min="14832" max="14832" width="9" style="5" customWidth="1"/>
    <col min="14833" max="14833" width="0.7109375" style="5" customWidth="1"/>
    <col min="14834" max="14834" width="11" style="5" customWidth="1"/>
    <col min="14835" max="14835" width="9.140625" style="5"/>
    <col min="14836" max="14836" width="0.7109375" style="5" customWidth="1"/>
    <col min="14837" max="14837" width="11" style="5" customWidth="1"/>
    <col min="14838" max="14838" width="9.140625" style="5"/>
    <col min="14839" max="14839" width="0.7109375" style="5" customWidth="1"/>
    <col min="14840" max="14840" width="16.42578125" style="5" customWidth="1"/>
    <col min="14841" max="14841" width="9.140625" style="5"/>
    <col min="14842" max="14842" width="0.7109375" style="5" customWidth="1"/>
    <col min="14843" max="14843" width="11" style="5" customWidth="1"/>
    <col min="14844" max="14844" width="9.140625" style="5"/>
    <col min="14845" max="14845" width="0.7109375" style="5" customWidth="1"/>
    <col min="14846" max="14846" width="11" style="5" customWidth="1"/>
    <col min="14847" max="14847" width="9.140625" style="5"/>
    <col min="14848" max="14848" width="0.7109375" style="5" customWidth="1"/>
    <col min="14849" max="14849" width="11" style="5" customWidth="1"/>
    <col min="14850" max="14850" width="9.140625" style="5"/>
    <col min="14851" max="14851" width="0.7109375" style="5" customWidth="1"/>
    <col min="14852" max="14852" width="11" style="5" customWidth="1"/>
    <col min="14853" max="14853" width="9.140625" style="5"/>
    <col min="14854" max="14854" width="0.7109375" style="5" customWidth="1"/>
    <col min="14855" max="14855" width="11" style="5" customWidth="1"/>
    <col min="14856" max="15085" width="9.140625" style="5"/>
    <col min="15086" max="15086" width="21.140625" style="5" customWidth="1"/>
    <col min="15087" max="15087" width="11" style="5" customWidth="1"/>
    <col min="15088" max="15088" width="9" style="5" customWidth="1"/>
    <col min="15089" max="15089" width="0.7109375" style="5" customWidth="1"/>
    <col min="15090" max="15090" width="11" style="5" customWidth="1"/>
    <col min="15091" max="15091" width="9.140625" style="5"/>
    <col min="15092" max="15092" width="0.7109375" style="5" customWidth="1"/>
    <col min="15093" max="15093" width="11" style="5" customWidth="1"/>
    <col min="15094" max="15094" width="9.140625" style="5"/>
    <col min="15095" max="15095" width="0.7109375" style="5" customWidth="1"/>
    <col min="15096" max="15096" width="16.42578125" style="5" customWidth="1"/>
    <col min="15097" max="15097" width="9.140625" style="5"/>
    <col min="15098" max="15098" width="0.7109375" style="5" customWidth="1"/>
    <col min="15099" max="15099" width="11" style="5" customWidth="1"/>
    <col min="15100" max="15100" width="9.140625" style="5"/>
    <col min="15101" max="15101" width="0.7109375" style="5" customWidth="1"/>
    <col min="15102" max="15102" width="11" style="5" customWidth="1"/>
    <col min="15103" max="15103" width="9.140625" style="5"/>
    <col min="15104" max="15104" width="0.7109375" style="5" customWidth="1"/>
    <col min="15105" max="15105" width="11" style="5" customWidth="1"/>
    <col min="15106" max="15106" width="9.140625" style="5"/>
    <col min="15107" max="15107" width="0.7109375" style="5" customWidth="1"/>
    <col min="15108" max="15108" width="11" style="5" customWidth="1"/>
    <col min="15109" max="15109" width="9.140625" style="5"/>
    <col min="15110" max="15110" width="0.7109375" style="5" customWidth="1"/>
    <col min="15111" max="15111" width="11" style="5" customWidth="1"/>
    <col min="15112" max="15341" width="9.140625" style="5"/>
    <col min="15342" max="15342" width="21.140625" style="5" customWidth="1"/>
    <col min="15343" max="15343" width="11" style="5" customWidth="1"/>
    <col min="15344" max="15344" width="9" style="5" customWidth="1"/>
    <col min="15345" max="15345" width="0.7109375" style="5" customWidth="1"/>
    <col min="15346" max="15346" width="11" style="5" customWidth="1"/>
    <col min="15347" max="15347" width="9.140625" style="5"/>
    <col min="15348" max="15348" width="0.7109375" style="5" customWidth="1"/>
    <col min="15349" max="15349" width="11" style="5" customWidth="1"/>
    <col min="15350" max="15350" width="9.140625" style="5"/>
    <col min="15351" max="15351" width="0.7109375" style="5" customWidth="1"/>
    <col min="15352" max="15352" width="16.42578125" style="5" customWidth="1"/>
    <col min="15353" max="15353" width="9.140625" style="5"/>
    <col min="15354" max="15354" width="0.7109375" style="5" customWidth="1"/>
    <col min="15355" max="15355" width="11" style="5" customWidth="1"/>
    <col min="15356" max="15356" width="9.140625" style="5"/>
    <col min="15357" max="15357" width="0.7109375" style="5" customWidth="1"/>
    <col min="15358" max="15358" width="11" style="5" customWidth="1"/>
    <col min="15359" max="15359" width="9.140625" style="5"/>
    <col min="15360" max="15360" width="0.7109375" style="5" customWidth="1"/>
    <col min="15361" max="15361" width="11" style="5" customWidth="1"/>
    <col min="15362" max="15362" width="9.140625" style="5"/>
    <col min="15363" max="15363" width="0.7109375" style="5" customWidth="1"/>
    <col min="15364" max="15364" width="11" style="5" customWidth="1"/>
    <col min="15365" max="15365" width="9.140625" style="5"/>
    <col min="15366" max="15366" width="0.7109375" style="5" customWidth="1"/>
    <col min="15367" max="15367" width="11" style="5" customWidth="1"/>
    <col min="15368" max="15597" width="9.140625" style="5"/>
    <col min="15598" max="15598" width="21.140625" style="5" customWidth="1"/>
    <col min="15599" max="15599" width="11" style="5" customWidth="1"/>
    <col min="15600" max="15600" width="9" style="5" customWidth="1"/>
    <col min="15601" max="15601" width="0.7109375" style="5" customWidth="1"/>
    <col min="15602" max="15602" width="11" style="5" customWidth="1"/>
    <col min="15603" max="15603" width="9.140625" style="5"/>
    <col min="15604" max="15604" width="0.7109375" style="5" customWidth="1"/>
    <col min="15605" max="15605" width="11" style="5" customWidth="1"/>
    <col min="15606" max="15606" width="9.140625" style="5"/>
    <col min="15607" max="15607" width="0.7109375" style="5" customWidth="1"/>
    <col min="15608" max="15608" width="16.42578125" style="5" customWidth="1"/>
    <col min="15609" max="15609" width="9.140625" style="5"/>
    <col min="15610" max="15610" width="0.7109375" style="5" customWidth="1"/>
    <col min="15611" max="15611" width="11" style="5" customWidth="1"/>
    <col min="15612" max="15612" width="9.140625" style="5"/>
    <col min="15613" max="15613" width="0.7109375" style="5" customWidth="1"/>
    <col min="15614" max="15614" width="11" style="5" customWidth="1"/>
    <col min="15615" max="15615" width="9.140625" style="5"/>
    <col min="15616" max="15616" width="0.7109375" style="5" customWidth="1"/>
    <col min="15617" max="15617" width="11" style="5" customWidth="1"/>
    <col min="15618" max="15618" width="9.140625" style="5"/>
    <col min="15619" max="15619" width="0.7109375" style="5" customWidth="1"/>
    <col min="15620" max="15620" width="11" style="5" customWidth="1"/>
    <col min="15621" max="15621" width="9.140625" style="5"/>
    <col min="15622" max="15622" width="0.7109375" style="5" customWidth="1"/>
    <col min="15623" max="15623" width="11" style="5" customWidth="1"/>
    <col min="15624" max="15853" width="9.140625" style="5"/>
    <col min="15854" max="15854" width="21.140625" style="5" customWidth="1"/>
    <col min="15855" max="15855" width="11" style="5" customWidth="1"/>
    <col min="15856" max="15856" width="9" style="5" customWidth="1"/>
    <col min="15857" max="15857" width="0.7109375" style="5" customWidth="1"/>
    <col min="15858" max="15858" width="11" style="5" customWidth="1"/>
    <col min="15859" max="15859" width="9.140625" style="5"/>
    <col min="15860" max="15860" width="0.7109375" style="5" customWidth="1"/>
    <col min="15861" max="15861" width="11" style="5" customWidth="1"/>
    <col min="15862" max="15862" width="9.140625" style="5"/>
    <col min="15863" max="15863" width="0.7109375" style="5" customWidth="1"/>
    <col min="15864" max="15864" width="16.42578125" style="5" customWidth="1"/>
    <col min="15865" max="15865" width="9.140625" style="5"/>
    <col min="15866" max="15866" width="0.7109375" style="5" customWidth="1"/>
    <col min="15867" max="15867" width="11" style="5" customWidth="1"/>
    <col min="15868" max="15868" width="9.140625" style="5"/>
    <col min="15869" max="15869" width="0.7109375" style="5" customWidth="1"/>
    <col min="15870" max="15870" width="11" style="5" customWidth="1"/>
    <col min="15871" max="15871" width="9.140625" style="5"/>
    <col min="15872" max="15872" width="0.7109375" style="5" customWidth="1"/>
    <col min="15873" max="15873" width="11" style="5" customWidth="1"/>
    <col min="15874" max="15874" width="9.140625" style="5"/>
    <col min="15875" max="15875" width="0.7109375" style="5" customWidth="1"/>
    <col min="15876" max="15876" width="11" style="5" customWidth="1"/>
    <col min="15877" max="15877" width="9.140625" style="5"/>
    <col min="15878" max="15878" width="0.7109375" style="5" customWidth="1"/>
    <col min="15879" max="15879" width="11" style="5" customWidth="1"/>
    <col min="15880" max="16109" width="9.140625" style="5"/>
    <col min="16110" max="16110" width="21.140625" style="5" customWidth="1"/>
    <col min="16111" max="16111" width="11" style="5" customWidth="1"/>
    <col min="16112" max="16112" width="9" style="5" customWidth="1"/>
    <col min="16113" max="16113" width="0.7109375" style="5" customWidth="1"/>
    <col min="16114" max="16114" width="11" style="5" customWidth="1"/>
    <col min="16115" max="16115" width="9.140625" style="5"/>
    <col min="16116" max="16116" width="0.7109375" style="5" customWidth="1"/>
    <col min="16117" max="16117" width="11" style="5" customWidth="1"/>
    <col min="16118" max="16118" width="9.140625" style="5"/>
    <col min="16119" max="16119" width="0.7109375" style="5" customWidth="1"/>
    <col min="16120" max="16120" width="16.42578125" style="5" customWidth="1"/>
    <col min="16121" max="16121" width="9.140625" style="5"/>
    <col min="16122" max="16122" width="0.7109375" style="5" customWidth="1"/>
    <col min="16123" max="16123" width="11" style="5" customWidth="1"/>
    <col min="16124" max="16124" width="9.140625" style="5"/>
    <col min="16125" max="16125" width="0.7109375" style="5" customWidth="1"/>
    <col min="16126" max="16126" width="11" style="5" customWidth="1"/>
    <col min="16127" max="16127" width="9.140625" style="5"/>
    <col min="16128" max="16128" width="0.7109375" style="5" customWidth="1"/>
    <col min="16129" max="16129" width="11" style="5" customWidth="1"/>
    <col min="16130" max="16130" width="9.140625" style="5"/>
    <col min="16131" max="16131" width="0.7109375" style="5" customWidth="1"/>
    <col min="16132" max="16132" width="11" style="5" customWidth="1"/>
    <col min="16133" max="16133" width="9.140625" style="5"/>
    <col min="16134" max="16134" width="0.7109375" style="5" customWidth="1"/>
    <col min="16135" max="16135" width="11" style="5" customWidth="1"/>
    <col min="16136" max="16365" width="9.140625" style="5"/>
    <col min="16366" max="16384" width="8.85546875" style="5" customWidth="1"/>
  </cols>
  <sheetData>
    <row r="1" spans="1:29" ht="18.75" x14ac:dyDescent="0.2">
      <c r="A1" s="9" t="s">
        <v>117</v>
      </c>
      <c r="B1" s="4"/>
      <c r="C1" s="4"/>
      <c r="D1" s="4"/>
      <c r="E1" s="4"/>
      <c r="F1" s="4"/>
    </row>
    <row r="2" spans="1:29" ht="15.75" customHeight="1" x14ac:dyDescent="0.2">
      <c r="A2" s="3"/>
      <c r="B2" s="4"/>
      <c r="C2" s="4"/>
      <c r="D2" s="4"/>
      <c r="E2" s="4"/>
      <c r="F2" s="4"/>
    </row>
    <row r="3" spans="1:29" ht="15.75" customHeight="1" x14ac:dyDescent="0.2">
      <c r="A3" s="6"/>
      <c r="B3" s="8" t="s">
        <v>5</v>
      </c>
      <c r="C3" s="8" t="s">
        <v>6</v>
      </c>
      <c r="D3" s="8" t="s">
        <v>7</v>
      </c>
      <c r="E3" s="8" t="s">
        <v>0</v>
      </c>
      <c r="F3" s="8" t="s">
        <v>1</v>
      </c>
      <c r="K3" s="12"/>
      <c r="L3" s="12"/>
      <c r="M3" s="12"/>
      <c r="N3" s="12"/>
      <c r="O3" s="12"/>
      <c r="AC3" s="12"/>
    </row>
    <row r="4" spans="1:29" ht="15.75" customHeight="1" x14ac:dyDescent="0.2">
      <c r="A4" s="1" t="s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H4" s="14" t="s">
        <v>19</v>
      </c>
      <c r="I4" s="12"/>
      <c r="J4" s="109" t="s">
        <v>120</v>
      </c>
      <c r="K4" s="16" t="s">
        <v>129</v>
      </c>
      <c r="L4" s="12"/>
      <c r="M4" s="12"/>
      <c r="N4" s="12"/>
      <c r="O4" s="18"/>
      <c r="P4" s="14" t="s">
        <v>110</v>
      </c>
      <c r="Q4" s="109" t="s">
        <v>120</v>
      </c>
      <c r="R4" s="115" t="s">
        <v>126</v>
      </c>
      <c r="S4" s="14"/>
      <c r="T4" s="14"/>
      <c r="U4" s="14"/>
      <c r="V4" s="14"/>
      <c r="W4" s="14"/>
    </row>
    <row r="5" spans="1:29" ht="15.75" customHeight="1" x14ac:dyDescent="0.2">
      <c r="A5" s="2" t="s">
        <v>48</v>
      </c>
      <c r="B5" s="11">
        <v>27.16</v>
      </c>
      <c r="C5" s="11"/>
      <c r="D5" s="11">
        <v>29.4</v>
      </c>
      <c r="E5" s="11">
        <v>24.9</v>
      </c>
      <c r="F5" s="11">
        <v>53.78</v>
      </c>
      <c r="H5" s="12" t="s">
        <v>9</v>
      </c>
      <c r="I5" s="127" t="s">
        <v>48</v>
      </c>
      <c r="J5" s="131">
        <f>B5</f>
        <v>27.16</v>
      </c>
      <c r="K5" s="19"/>
      <c r="L5" s="12"/>
      <c r="M5" s="26"/>
      <c r="O5" s="18"/>
      <c r="P5" s="2" t="s">
        <v>48</v>
      </c>
      <c r="Q5" s="106">
        <f>E5</f>
        <v>24.9</v>
      </c>
      <c r="T5" s="26"/>
      <c r="V5" s="26"/>
    </row>
    <row r="6" spans="1:29" ht="15.75" customHeight="1" x14ac:dyDescent="0.2">
      <c r="A6" s="2" t="s">
        <v>3</v>
      </c>
      <c r="B6" s="11">
        <v>27.13</v>
      </c>
      <c r="C6" s="11">
        <v>33.17</v>
      </c>
      <c r="D6" s="11">
        <v>26.16</v>
      </c>
      <c r="E6" s="11">
        <v>25.03</v>
      </c>
      <c r="F6" s="11">
        <v>53.64</v>
      </c>
      <c r="H6" s="12" t="s">
        <v>10</v>
      </c>
      <c r="I6" s="127" t="s">
        <v>49</v>
      </c>
      <c r="J6" s="131">
        <f>C8</f>
        <v>31.92</v>
      </c>
      <c r="K6" s="19"/>
      <c r="L6" s="12"/>
      <c r="M6" s="26"/>
      <c r="O6" s="18"/>
      <c r="P6" s="2" t="s">
        <v>51</v>
      </c>
      <c r="Q6" s="106">
        <f t="shared" ref="Q6:Q8" si="0">E6</f>
        <v>25.03</v>
      </c>
      <c r="T6" s="26"/>
      <c r="V6" s="26"/>
    </row>
    <row r="7" spans="1:29" ht="15.75" customHeight="1" x14ac:dyDescent="0.2">
      <c r="A7" s="2" t="s">
        <v>15</v>
      </c>
      <c r="B7" s="11"/>
      <c r="C7" s="11">
        <v>36.21</v>
      </c>
      <c r="D7" s="32">
        <v>30.38</v>
      </c>
      <c r="E7" s="11">
        <v>25.93</v>
      </c>
      <c r="F7" s="11">
        <v>57.54</v>
      </c>
      <c r="H7" s="12" t="s">
        <v>11</v>
      </c>
      <c r="I7" s="127" t="s">
        <v>51</v>
      </c>
      <c r="J7" s="131">
        <f>D6</f>
        <v>26.16</v>
      </c>
      <c r="K7" s="19"/>
      <c r="L7" s="15"/>
      <c r="M7" s="26"/>
      <c r="O7" s="18"/>
      <c r="P7" s="2" t="s">
        <v>15</v>
      </c>
      <c r="Q7" s="106">
        <f t="shared" si="0"/>
        <v>25.93</v>
      </c>
      <c r="T7" s="26"/>
      <c r="V7" s="26"/>
    </row>
    <row r="8" spans="1:29" ht="15.75" customHeight="1" x14ac:dyDescent="0.2">
      <c r="A8" s="2" t="s">
        <v>49</v>
      </c>
      <c r="B8" s="11">
        <v>31.45</v>
      </c>
      <c r="C8" s="11">
        <v>31.92</v>
      </c>
      <c r="D8" s="11">
        <v>29.85</v>
      </c>
      <c r="E8" s="11">
        <v>26.01</v>
      </c>
      <c r="F8" s="11">
        <v>55.98</v>
      </c>
      <c r="H8" s="12" t="s">
        <v>12</v>
      </c>
      <c r="I8" s="136" t="s">
        <v>15</v>
      </c>
      <c r="J8" s="133">
        <f>E7</f>
        <v>25.93</v>
      </c>
      <c r="K8" s="24"/>
      <c r="L8" s="25"/>
      <c r="M8" s="47"/>
      <c r="N8" s="48"/>
      <c r="O8" s="18"/>
      <c r="P8" s="30" t="s">
        <v>49</v>
      </c>
      <c r="Q8" s="100">
        <f t="shared" si="0"/>
        <v>26.01</v>
      </c>
      <c r="R8" s="48"/>
      <c r="S8" s="48"/>
      <c r="T8" s="47"/>
      <c r="U8" s="48"/>
      <c r="V8" s="47"/>
      <c r="W8" s="48"/>
    </row>
    <row r="9" spans="1:29" ht="15.75" customHeight="1" x14ac:dyDescent="0.2">
      <c r="A9" s="2" t="s">
        <v>8</v>
      </c>
      <c r="B9" s="11"/>
      <c r="C9" s="11"/>
      <c r="D9" s="11">
        <v>30.73</v>
      </c>
      <c r="E9" s="11">
        <v>26.88</v>
      </c>
      <c r="F9" s="11">
        <v>61.32</v>
      </c>
      <c r="H9" s="12"/>
      <c r="I9" s="137" t="s">
        <v>30</v>
      </c>
      <c r="J9" s="138">
        <f>SUM(J5:J8)</f>
        <v>111.16999999999999</v>
      </c>
      <c r="K9" s="12" t="s">
        <v>30</v>
      </c>
      <c r="L9" s="15">
        <f>SUM(L5:L8)</f>
        <v>0</v>
      </c>
      <c r="M9" s="12" t="s">
        <v>30</v>
      </c>
      <c r="N9" s="13">
        <f>SUM(N5:N8)</f>
        <v>0</v>
      </c>
      <c r="O9" s="18"/>
      <c r="P9" s="12" t="s">
        <v>30</v>
      </c>
      <c r="Q9" s="44">
        <f>SUM(Q5:Q8)</f>
        <v>101.87</v>
      </c>
      <c r="R9" s="12" t="s">
        <v>30</v>
      </c>
      <c r="S9" s="13">
        <f t="shared" ref="S9" si="1">SUM(S5:S8)</f>
        <v>0</v>
      </c>
      <c r="T9" s="12" t="s">
        <v>30</v>
      </c>
      <c r="U9" s="13">
        <f t="shared" ref="U9" si="2">SUM(U5:U8)</f>
        <v>0</v>
      </c>
      <c r="V9" s="12" t="s">
        <v>30</v>
      </c>
      <c r="W9" s="13">
        <f t="shared" ref="W9" si="3">SUM(W5:W8)</f>
        <v>0</v>
      </c>
    </row>
    <row r="10" spans="1:29" ht="15.75" customHeight="1" x14ac:dyDescent="0.2">
      <c r="A10" s="2" t="s">
        <v>14</v>
      </c>
      <c r="B10" s="11">
        <v>31.45</v>
      </c>
      <c r="C10" s="11">
        <v>36.85</v>
      </c>
      <c r="D10" s="32">
        <v>28.02</v>
      </c>
      <c r="E10" s="32">
        <v>26.9</v>
      </c>
      <c r="F10" s="32">
        <v>58.6</v>
      </c>
      <c r="H10" s="12"/>
      <c r="I10" s="136" t="s">
        <v>31</v>
      </c>
      <c r="J10" s="134">
        <f>J9-60</f>
        <v>51.169999999999987</v>
      </c>
      <c r="K10" s="12" t="s">
        <v>31</v>
      </c>
      <c r="L10" s="13">
        <f>L9-60</f>
        <v>-60</v>
      </c>
      <c r="M10" s="12" t="s">
        <v>47</v>
      </c>
      <c r="N10" s="13">
        <f>N9-120</f>
        <v>-120</v>
      </c>
      <c r="O10" s="18"/>
      <c r="P10" s="12" t="s">
        <v>31</v>
      </c>
      <c r="Q10" s="44">
        <f>Q9-60</f>
        <v>41.870000000000005</v>
      </c>
      <c r="R10" s="12" t="s">
        <v>47</v>
      </c>
      <c r="S10" s="13">
        <f t="shared" ref="S10" si="4">S9-120</f>
        <v>-120</v>
      </c>
      <c r="T10" s="12" t="s">
        <v>47</v>
      </c>
      <c r="U10" s="13">
        <f t="shared" ref="U10" si="5">U9-120</f>
        <v>-120</v>
      </c>
      <c r="V10" s="12" t="s">
        <v>47</v>
      </c>
      <c r="W10" s="13">
        <f t="shared" ref="W10" si="6">W9-120</f>
        <v>-120</v>
      </c>
    </row>
    <row r="11" spans="1:29" ht="15.75" customHeight="1" x14ac:dyDescent="0.2">
      <c r="A11" s="2" t="s">
        <v>46</v>
      </c>
      <c r="B11" s="11"/>
      <c r="C11" s="11">
        <v>37.35</v>
      </c>
      <c r="D11" s="11"/>
      <c r="E11" s="11">
        <v>27.4</v>
      </c>
      <c r="F11" s="32">
        <v>61.97</v>
      </c>
      <c r="H11" s="38" t="s">
        <v>18</v>
      </c>
      <c r="I11" s="39"/>
      <c r="J11" s="108" t="s">
        <v>121</v>
      </c>
      <c r="K11" s="43" t="s">
        <v>130</v>
      </c>
      <c r="L11" s="40"/>
      <c r="M11" s="41"/>
      <c r="N11" s="40"/>
      <c r="O11" s="42"/>
      <c r="P11" s="39" t="s">
        <v>24</v>
      </c>
      <c r="Q11" s="110" t="s">
        <v>111</v>
      </c>
      <c r="R11" s="116" t="s">
        <v>127</v>
      </c>
      <c r="S11" s="40"/>
      <c r="T11" s="41"/>
      <c r="U11" s="40"/>
      <c r="V11" s="41"/>
      <c r="W11" s="40"/>
    </row>
    <row r="12" spans="1:29" ht="15.75" customHeight="1" x14ac:dyDescent="0.2">
      <c r="A12" s="2" t="s">
        <v>28</v>
      </c>
      <c r="B12" s="11">
        <v>31.93</v>
      </c>
      <c r="C12" s="11"/>
      <c r="D12" s="32">
        <v>29.19</v>
      </c>
      <c r="E12" s="11">
        <v>28.19</v>
      </c>
      <c r="F12" s="11">
        <v>64.459999999999994</v>
      </c>
      <c r="H12" s="12" t="s">
        <v>9</v>
      </c>
      <c r="I12" s="120" t="s">
        <v>28</v>
      </c>
      <c r="J12" s="119">
        <f>B12</f>
        <v>31.93</v>
      </c>
      <c r="K12" s="19"/>
      <c r="L12" s="44"/>
      <c r="O12" s="18"/>
      <c r="P12" s="123" t="s">
        <v>8</v>
      </c>
      <c r="Q12" s="128">
        <f>E9</f>
        <v>26.88</v>
      </c>
      <c r="R12" s="123" t="s">
        <v>16</v>
      </c>
      <c r="S12" s="128">
        <f>E13</f>
        <v>28.6</v>
      </c>
    </row>
    <row r="13" spans="1:29" ht="15.75" customHeight="1" x14ac:dyDescent="0.2">
      <c r="A13" s="2" t="s">
        <v>16</v>
      </c>
      <c r="B13" s="11">
        <v>32.99</v>
      </c>
      <c r="C13" s="11"/>
      <c r="D13" s="11"/>
      <c r="E13" s="11">
        <v>28.6</v>
      </c>
      <c r="F13" s="32">
        <v>66.56</v>
      </c>
      <c r="H13" s="12" t="s">
        <v>10</v>
      </c>
      <c r="I13" s="120" t="s">
        <v>23</v>
      </c>
      <c r="J13" s="119">
        <f>C15</f>
        <v>34.61</v>
      </c>
      <c r="K13" s="19"/>
      <c r="L13" s="44"/>
      <c r="O13" s="18"/>
      <c r="P13" s="123" t="s">
        <v>14</v>
      </c>
      <c r="Q13" s="128">
        <f t="shared" ref="Q13:Q14" si="7">E10</f>
        <v>26.9</v>
      </c>
      <c r="R13" s="123" t="s">
        <v>109</v>
      </c>
      <c r="S13" s="128">
        <f>E14</f>
        <v>29.02</v>
      </c>
    </row>
    <row r="14" spans="1:29" ht="15.75" customHeight="1" x14ac:dyDescent="0.2">
      <c r="A14" s="2" t="s">
        <v>109</v>
      </c>
      <c r="B14" s="11"/>
      <c r="C14" s="11"/>
      <c r="D14" s="11"/>
      <c r="E14" s="11">
        <v>29.02</v>
      </c>
      <c r="F14" s="11"/>
      <c r="H14" s="12" t="s">
        <v>11</v>
      </c>
      <c r="I14" s="121" t="s">
        <v>14</v>
      </c>
      <c r="J14" s="119">
        <f>D10</f>
        <v>28.02</v>
      </c>
      <c r="K14" s="19"/>
      <c r="L14" s="44"/>
      <c r="O14" s="18"/>
      <c r="P14" s="123" t="s">
        <v>46</v>
      </c>
      <c r="Q14" s="128">
        <f t="shared" si="7"/>
        <v>27.4</v>
      </c>
      <c r="R14" s="123" t="s">
        <v>23</v>
      </c>
      <c r="S14" s="128">
        <f>E15</f>
        <v>29.09</v>
      </c>
    </row>
    <row r="15" spans="1:29" ht="15.75" customHeight="1" x14ac:dyDescent="0.2">
      <c r="A15" s="2" t="s">
        <v>23</v>
      </c>
      <c r="B15" s="11"/>
      <c r="C15" s="11">
        <v>34.61</v>
      </c>
      <c r="D15" s="32">
        <v>30.37</v>
      </c>
      <c r="E15" s="11">
        <v>29.09</v>
      </c>
      <c r="F15" s="32">
        <v>64.92</v>
      </c>
      <c r="H15" s="21" t="s">
        <v>12</v>
      </c>
      <c r="I15" s="122" t="s">
        <v>8</v>
      </c>
      <c r="J15" s="139">
        <f>E9</f>
        <v>26.88</v>
      </c>
      <c r="K15" s="24"/>
      <c r="L15" s="23"/>
      <c r="M15" s="24"/>
      <c r="N15" s="22"/>
      <c r="O15" s="18"/>
      <c r="P15" s="125" t="s">
        <v>28</v>
      </c>
      <c r="Q15" s="134">
        <f>E12</f>
        <v>28.19</v>
      </c>
      <c r="R15" s="125" t="s">
        <v>81</v>
      </c>
      <c r="S15" s="134">
        <f>E16</f>
        <v>29</v>
      </c>
      <c r="T15" s="24"/>
      <c r="U15" s="22"/>
      <c r="V15" s="24"/>
      <c r="W15" s="22"/>
    </row>
    <row r="16" spans="1:29" ht="15.75" customHeight="1" x14ac:dyDescent="0.2">
      <c r="A16" s="2" t="s">
        <v>81</v>
      </c>
      <c r="B16" s="11"/>
      <c r="C16" s="11"/>
      <c r="D16" s="11"/>
      <c r="E16" s="11">
        <v>29</v>
      </c>
      <c r="F16" s="11">
        <v>67.59</v>
      </c>
      <c r="H16" s="12"/>
      <c r="I16" s="120" t="s">
        <v>30</v>
      </c>
      <c r="J16" s="119">
        <f>SUM(J12:J15)</f>
        <v>121.43999999999998</v>
      </c>
      <c r="K16" s="19" t="s">
        <v>30</v>
      </c>
      <c r="L16" s="106">
        <f>SUM(L12:L15)</f>
        <v>0</v>
      </c>
      <c r="M16" s="19" t="s">
        <v>30</v>
      </c>
      <c r="N16" s="27">
        <f>SUM(N12:N15)</f>
        <v>0</v>
      </c>
      <c r="O16" s="18"/>
      <c r="P16" s="127" t="s">
        <v>30</v>
      </c>
      <c r="Q16" s="128">
        <f>SUM(Q12:Q15)</f>
        <v>109.37</v>
      </c>
      <c r="R16" s="127" t="s">
        <v>30</v>
      </c>
      <c r="S16" s="128">
        <f t="shared" ref="S16" si="8">SUM(S12:S15)</f>
        <v>115.71000000000001</v>
      </c>
      <c r="T16" s="19" t="s">
        <v>30</v>
      </c>
      <c r="U16" s="27">
        <f t="shared" ref="U16" si="9">SUM(U12:U15)</f>
        <v>0</v>
      </c>
      <c r="V16" s="19" t="s">
        <v>30</v>
      </c>
      <c r="W16" s="27">
        <f t="shared" ref="W16" si="10">SUM(W12:W15)</f>
        <v>0</v>
      </c>
    </row>
    <row r="17" spans="1:29" ht="15.75" customHeight="1" x14ac:dyDescent="0.2">
      <c r="A17" s="2" t="s">
        <v>82</v>
      </c>
      <c r="B17" s="11"/>
      <c r="C17" s="11"/>
      <c r="D17" s="11">
        <v>30.34</v>
      </c>
      <c r="E17" s="11">
        <v>29.88</v>
      </c>
      <c r="F17" s="32">
        <v>65.56</v>
      </c>
      <c r="H17" s="12"/>
      <c r="I17" s="120" t="s">
        <v>47</v>
      </c>
      <c r="J17" s="119">
        <f>J16-120</f>
        <v>1.4399999999999835</v>
      </c>
      <c r="K17" s="19" t="s">
        <v>47</v>
      </c>
      <c r="L17" s="44">
        <f>L16-120</f>
        <v>-120</v>
      </c>
      <c r="M17" s="19" t="s">
        <v>47</v>
      </c>
      <c r="N17" s="13">
        <f>N16-120</f>
        <v>-120</v>
      </c>
      <c r="O17" s="18"/>
      <c r="P17" s="129" t="s">
        <v>31</v>
      </c>
      <c r="Q17" s="128">
        <f>Q16-60</f>
        <v>49.370000000000005</v>
      </c>
      <c r="R17" s="129" t="s">
        <v>31</v>
      </c>
      <c r="S17" s="128">
        <f>S16-60</f>
        <v>55.710000000000008</v>
      </c>
      <c r="T17" s="19" t="s">
        <v>47</v>
      </c>
      <c r="U17" s="13">
        <f t="shared" ref="U17" si="11">U16-120</f>
        <v>-120</v>
      </c>
      <c r="V17" s="19" t="s">
        <v>47</v>
      </c>
      <c r="W17" s="13">
        <f t="shared" ref="W17" si="12">W16-120</f>
        <v>-120</v>
      </c>
    </row>
    <row r="18" spans="1:29" ht="15.75" customHeight="1" x14ac:dyDescent="0.2">
      <c r="A18" s="2" t="s">
        <v>134</v>
      </c>
      <c r="B18" s="11"/>
      <c r="C18" s="11"/>
      <c r="D18" s="11"/>
      <c r="E18" s="11"/>
      <c r="F18" s="11">
        <v>67.2</v>
      </c>
    </row>
    <row r="19" spans="1:29" ht="15.75" customHeight="1" x14ac:dyDescent="0.2">
      <c r="A19" s="2" t="s">
        <v>50</v>
      </c>
      <c r="B19" s="11">
        <v>34.479999999999997</v>
      </c>
      <c r="C19" s="11"/>
      <c r="D19" s="11"/>
      <c r="E19" s="11"/>
      <c r="F19" s="11"/>
    </row>
    <row r="20" spans="1:29" ht="15.75" customHeight="1" x14ac:dyDescent="0.2">
      <c r="A20" s="2" t="s">
        <v>118</v>
      </c>
      <c r="B20" s="11"/>
      <c r="C20" s="11">
        <v>36.75</v>
      </c>
      <c r="D20" s="11"/>
      <c r="E20" s="11"/>
      <c r="F20" s="11"/>
      <c r="AC20" s="12"/>
    </row>
    <row r="21" spans="1:29" ht="15.75" customHeight="1" x14ac:dyDescent="0.2">
      <c r="B21" s="1" t="s">
        <v>54</v>
      </c>
      <c r="AC21" s="12"/>
    </row>
    <row r="22" spans="1:29" ht="15.75" customHeight="1" x14ac:dyDescent="0.2">
      <c r="A22" s="35"/>
      <c r="B22" s="35"/>
      <c r="C22" s="35"/>
      <c r="D22" s="35"/>
      <c r="E22" s="35"/>
      <c r="F22" s="35"/>
      <c r="G22" s="35"/>
      <c r="H22" s="18"/>
      <c r="I22" s="18"/>
      <c r="J22" s="36"/>
      <c r="K22" s="18"/>
      <c r="L22" s="37"/>
      <c r="M22" s="18"/>
      <c r="N22" s="37"/>
      <c r="O22" s="18"/>
      <c r="P22" s="18"/>
      <c r="Q22" s="36"/>
      <c r="R22" s="18"/>
      <c r="S22" s="37"/>
      <c r="T22" s="18"/>
      <c r="U22" s="37"/>
      <c r="V22" s="18"/>
      <c r="W22" s="37"/>
      <c r="AC22" s="12"/>
    </row>
    <row r="23" spans="1:29" ht="15.75" customHeight="1" x14ac:dyDescent="0.2">
      <c r="H23" s="12"/>
      <c r="I23" s="12"/>
      <c r="J23" s="27"/>
      <c r="K23" s="12"/>
      <c r="L23" s="13"/>
      <c r="M23" s="12"/>
      <c r="N23" s="13"/>
      <c r="O23" s="12"/>
      <c r="P23" s="12"/>
      <c r="Q23" s="27"/>
      <c r="R23" s="12"/>
      <c r="S23" s="13"/>
      <c r="T23" s="12"/>
      <c r="U23" s="13"/>
      <c r="V23" s="12"/>
      <c r="W23" s="13"/>
      <c r="AC23" s="12"/>
    </row>
    <row r="24" spans="1:29" ht="15.75" customHeight="1" x14ac:dyDescent="0.2">
      <c r="H24" s="12"/>
      <c r="I24" s="12"/>
      <c r="J24" s="27"/>
      <c r="K24" s="12"/>
      <c r="L24" s="13"/>
      <c r="M24" s="12"/>
      <c r="N24" s="13"/>
      <c r="O24" s="12"/>
      <c r="P24" s="12"/>
      <c r="Q24" s="12"/>
      <c r="R24" s="12"/>
      <c r="S24" s="13"/>
      <c r="T24" s="12"/>
      <c r="U24" s="13"/>
      <c r="V24" s="12"/>
      <c r="W24" s="13"/>
      <c r="AC24" s="12"/>
    </row>
    <row r="25" spans="1:29" ht="15.75" customHeight="1" x14ac:dyDescent="0.2">
      <c r="A25" s="1" t="s">
        <v>4</v>
      </c>
      <c r="B25" s="11">
        <v>0</v>
      </c>
      <c r="C25" s="7"/>
      <c r="D25" s="7">
        <v>0</v>
      </c>
      <c r="E25" s="94">
        <v>0</v>
      </c>
      <c r="F25" s="93">
        <v>0</v>
      </c>
      <c r="H25" s="14" t="s">
        <v>19</v>
      </c>
      <c r="I25" s="12"/>
      <c r="J25" s="109" t="s">
        <v>120</v>
      </c>
      <c r="K25" s="105" t="s">
        <v>131</v>
      </c>
      <c r="L25" s="13"/>
      <c r="M25" s="12"/>
      <c r="N25" s="13"/>
      <c r="O25" s="18"/>
      <c r="P25" s="12" t="s">
        <v>22</v>
      </c>
      <c r="Q25" s="109" t="s">
        <v>120</v>
      </c>
      <c r="R25" s="16" t="s">
        <v>128</v>
      </c>
      <c r="S25" s="13"/>
      <c r="T25" s="12"/>
      <c r="U25" s="13"/>
      <c r="V25" s="12"/>
      <c r="W25" s="13"/>
      <c r="AC25" s="12"/>
    </row>
    <row r="26" spans="1:29" ht="15.75" customHeight="1" x14ac:dyDescent="0.2">
      <c r="A26" s="2" t="s">
        <v>13</v>
      </c>
      <c r="B26" s="11">
        <v>25.17</v>
      </c>
      <c r="C26" s="32">
        <v>27.15</v>
      </c>
      <c r="D26" s="32">
        <v>23.61</v>
      </c>
      <c r="E26" s="95">
        <v>21.43</v>
      </c>
      <c r="F26" s="15">
        <v>47.16</v>
      </c>
      <c r="H26" s="118" t="s">
        <v>9</v>
      </c>
      <c r="I26" s="127" t="s">
        <v>35</v>
      </c>
      <c r="J26" s="131">
        <f>B29</f>
        <v>27.45</v>
      </c>
      <c r="K26" s="19"/>
      <c r="L26" s="12"/>
      <c r="M26" s="26"/>
      <c r="O26" s="18"/>
      <c r="P26" s="123" t="s">
        <v>13</v>
      </c>
      <c r="Q26" s="124">
        <f>E26</f>
        <v>21.43</v>
      </c>
      <c r="T26" s="26"/>
      <c r="V26" s="26"/>
      <c r="AC26" s="12"/>
    </row>
    <row r="27" spans="1:29" ht="15.75" customHeight="1" x14ac:dyDescent="0.2">
      <c r="A27" s="2" t="s">
        <v>20</v>
      </c>
      <c r="B27" s="11"/>
      <c r="C27" s="11"/>
      <c r="D27" s="10">
        <v>28.07</v>
      </c>
      <c r="E27" s="95">
        <v>22.78</v>
      </c>
      <c r="F27" s="15">
        <v>53.75</v>
      </c>
      <c r="H27" s="118" t="s">
        <v>10</v>
      </c>
      <c r="I27" s="123" t="s">
        <v>13</v>
      </c>
      <c r="J27" s="131">
        <f>C26</f>
        <v>27.15</v>
      </c>
      <c r="K27" s="19"/>
      <c r="L27" s="12"/>
      <c r="M27" s="26"/>
      <c r="O27" s="18"/>
      <c r="P27" s="123" t="s">
        <v>20</v>
      </c>
      <c r="Q27" s="124">
        <f t="shared" ref="Q27:Q28" si="13">E27</f>
        <v>22.78</v>
      </c>
      <c r="T27" s="26"/>
      <c r="V27" s="26"/>
      <c r="AC27" s="12"/>
    </row>
    <row r="28" spans="1:29" ht="15.75" customHeight="1" x14ac:dyDescent="0.2">
      <c r="A28" s="2" t="s">
        <v>21</v>
      </c>
      <c r="B28" s="11">
        <v>26.11</v>
      </c>
      <c r="C28" s="11"/>
      <c r="D28" s="10">
        <v>23.92</v>
      </c>
      <c r="E28" s="95">
        <v>23.36</v>
      </c>
      <c r="F28" s="15">
        <v>51.2</v>
      </c>
      <c r="H28" s="118" t="s">
        <v>11</v>
      </c>
      <c r="I28" s="123" t="s">
        <v>21</v>
      </c>
      <c r="J28" s="131">
        <f>D28</f>
        <v>23.92</v>
      </c>
      <c r="K28" s="19"/>
      <c r="L28" s="15"/>
      <c r="M28" s="26"/>
      <c r="O28" s="18"/>
      <c r="P28" s="123" t="s">
        <v>21</v>
      </c>
      <c r="Q28" s="124">
        <f t="shared" si="13"/>
        <v>23.36</v>
      </c>
      <c r="T28" s="26"/>
      <c r="V28" s="26"/>
      <c r="AC28" s="12"/>
    </row>
    <row r="29" spans="1:29" ht="15.75" customHeight="1" x14ac:dyDescent="0.2">
      <c r="A29" s="2" t="s">
        <v>35</v>
      </c>
      <c r="B29" s="11">
        <v>27.45</v>
      </c>
      <c r="C29" s="32">
        <v>32.89</v>
      </c>
      <c r="D29" s="32">
        <v>27.5</v>
      </c>
      <c r="E29" s="95">
        <v>23.87</v>
      </c>
      <c r="F29" s="15">
        <v>56.92</v>
      </c>
      <c r="H29" s="88" t="s">
        <v>12</v>
      </c>
      <c r="I29" s="125" t="s">
        <v>20</v>
      </c>
      <c r="J29" s="133">
        <f>E27</f>
        <v>22.78</v>
      </c>
      <c r="K29" s="24"/>
      <c r="L29" s="25"/>
      <c r="M29" s="47"/>
      <c r="N29" s="48"/>
      <c r="O29" s="18"/>
      <c r="P29" s="125" t="s">
        <v>35</v>
      </c>
      <c r="Q29" s="126">
        <f>E29</f>
        <v>23.87</v>
      </c>
      <c r="R29" s="48"/>
      <c r="S29" s="48"/>
      <c r="T29" s="47"/>
      <c r="U29" s="48"/>
      <c r="V29" s="47"/>
      <c r="W29" s="48"/>
      <c r="AC29" s="12"/>
    </row>
    <row r="30" spans="1:29" ht="15.75" customHeight="1" x14ac:dyDescent="0.2">
      <c r="A30" s="2" t="s">
        <v>32</v>
      </c>
      <c r="B30" s="11"/>
      <c r="C30" s="11"/>
      <c r="D30" s="10">
        <v>28.37</v>
      </c>
      <c r="E30" s="95">
        <v>24.28</v>
      </c>
      <c r="F30" s="15">
        <v>55.64</v>
      </c>
      <c r="H30" s="118"/>
      <c r="I30" s="127" t="s">
        <v>30</v>
      </c>
      <c r="J30" s="91">
        <f>SUM(J26:J29)</f>
        <v>101.3</v>
      </c>
      <c r="K30" s="39" t="s">
        <v>30</v>
      </c>
      <c r="L30" s="107">
        <f>SUM(L26:L29)</f>
        <v>0</v>
      </c>
      <c r="M30" s="12" t="s">
        <v>30</v>
      </c>
      <c r="N30" s="13">
        <f>SUM(N26:N29)</f>
        <v>0</v>
      </c>
      <c r="O30" s="18"/>
      <c r="P30" s="127" t="s">
        <v>30</v>
      </c>
      <c r="Q30" s="128">
        <f>SUM(Q26:Q29)</f>
        <v>91.44</v>
      </c>
      <c r="R30" s="12" t="s">
        <v>30</v>
      </c>
      <c r="S30" s="13">
        <f t="shared" ref="S30" si="14">SUM(S26:S29)</f>
        <v>0</v>
      </c>
      <c r="T30" s="12" t="s">
        <v>30</v>
      </c>
      <c r="U30" s="13">
        <f t="shared" ref="U30" si="15">SUM(U26:U29)</f>
        <v>0</v>
      </c>
      <c r="V30" s="12" t="s">
        <v>30</v>
      </c>
      <c r="W30" s="13">
        <f t="shared" ref="W30" si="16">SUM(W26:W29)</f>
        <v>0</v>
      </c>
      <c r="AC30" s="12"/>
    </row>
    <row r="31" spans="1:29" ht="15.75" customHeight="1" x14ac:dyDescent="0.2">
      <c r="A31" s="2" t="s">
        <v>27</v>
      </c>
      <c r="B31" s="32">
        <v>28.94</v>
      </c>
      <c r="C31" s="11"/>
      <c r="D31" s="11">
        <v>27.42</v>
      </c>
      <c r="E31" s="95">
        <v>24.3</v>
      </c>
      <c r="F31" s="15">
        <v>56.75</v>
      </c>
      <c r="H31" s="118"/>
      <c r="I31" s="127" t="s">
        <v>31</v>
      </c>
      <c r="J31" s="91">
        <f>J30-60</f>
        <v>41.3</v>
      </c>
      <c r="K31" s="21" t="s">
        <v>31</v>
      </c>
      <c r="L31" s="23">
        <f>L30-60</f>
        <v>-60</v>
      </c>
      <c r="M31" s="12" t="s">
        <v>47</v>
      </c>
      <c r="N31" s="13">
        <f>N30-120</f>
        <v>-120</v>
      </c>
      <c r="O31" s="18"/>
      <c r="P31" s="127" t="s">
        <v>31</v>
      </c>
      <c r="Q31" s="128">
        <f>Q30-60</f>
        <v>31.439999999999998</v>
      </c>
      <c r="R31" s="12" t="s">
        <v>47</v>
      </c>
      <c r="S31" s="13">
        <f t="shared" ref="S31" si="17">S30-120</f>
        <v>-120</v>
      </c>
      <c r="T31" s="12" t="s">
        <v>47</v>
      </c>
      <c r="U31" s="13">
        <f t="shared" ref="U31" si="18">U30-120</f>
        <v>-120</v>
      </c>
      <c r="V31" s="12" t="s">
        <v>47</v>
      </c>
      <c r="W31" s="13">
        <f t="shared" ref="W31" si="19">W30-120</f>
        <v>-120</v>
      </c>
      <c r="AC31" s="12"/>
    </row>
    <row r="32" spans="1:29" ht="15.75" x14ac:dyDescent="0.2">
      <c r="A32" s="2" t="s">
        <v>26</v>
      </c>
      <c r="B32" s="11"/>
      <c r="C32" s="32">
        <v>30.87</v>
      </c>
      <c r="D32" s="10"/>
      <c r="E32" s="95">
        <v>24.42</v>
      </c>
      <c r="F32" s="15">
        <v>56.16</v>
      </c>
      <c r="H32" s="38" t="s">
        <v>18</v>
      </c>
      <c r="I32" s="39"/>
      <c r="J32" s="108" t="s">
        <v>114</v>
      </c>
      <c r="K32" s="117" t="s">
        <v>132</v>
      </c>
      <c r="L32" s="40"/>
      <c r="M32" s="41"/>
      <c r="N32" s="40"/>
      <c r="O32" s="42"/>
      <c r="P32" s="39" t="s">
        <v>24</v>
      </c>
      <c r="Q32" s="110" t="s">
        <v>114</v>
      </c>
      <c r="R32" s="112" t="s">
        <v>133</v>
      </c>
      <c r="S32" s="40"/>
      <c r="T32" s="41"/>
      <c r="U32" s="40"/>
      <c r="V32" s="41"/>
      <c r="W32" s="40"/>
      <c r="AC32" s="12"/>
    </row>
    <row r="33" spans="1:29" ht="15.75" x14ac:dyDescent="0.2">
      <c r="A33" s="2" t="s">
        <v>33</v>
      </c>
      <c r="B33" s="11">
        <v>28.11</v>
      </c>
      <c r="C33" s="11"/>
      <c r="D33" s="10">
        <v>28.98</v>
      </c>
      <c r="E33" s="95">
        <v>25.43</v>
      </c>
      <c r="F33" s="15">
        <v>55.42</v>
      </c>
      <c r="H33" s="12" t="s">
        <v>9</v>
      </c>
      <c r="I33" s="33" t="s">
        <v>33</v>
      </c>
      <c r="J33" s="13">
        <f>B33</f>
        <v>28.11</v>
      </c>
      <c r="K33" s="129" t="s">
        <v>33</v>
      </c>
      <c r="L33" s="128">
        <f>B33</f>
        <v>28.11</v>
      </c>
      <c r="O33" s="18"/>
      <c r="P33" s="12" t="s">
        <v>32</v>
      </c>
      <c r="Q33" s="106">
        <f>E30</f>
        <v>24.28</v>
      </c>
      <c r="R33" s="127" t="s">
        <v>32</v>
      </c>
      <c r="S33" s="124">
        <f>E30</f>
        <v>24.28</v>
      </c>
      <c r="AC33" s="12"/>
    </row>
    <row r="34" spans="1:29" ht="15.75" x14ac:dyDescent="0.2">
      <c r="A34" s="2" t="s">
        <v>89</v>
      </c>
      <c r="B34" s="11"/>
      <c r="C34" s="11"/>
      <c r="D34" s="29"/>
      <c r="E34" s="95">
        <v>26.11</v>
      </c>
      <c r="F34" s="15">
        <v>61.6</v>
      </c>
      <c r="H34" s="12" t="s">
        <v>10</v>
      </c>
      <c r="I34" s="33" t="s">
        <v>26</v>
      </c>
      <c r="J34" s="13">
        <f>C32</f>
        <v>30.87</v>
      </c>
      <c r="K34" s="129" t="s">
        <v>34</v>
      </c>
      <c r="L34" s="128">
        <f>C38</f>
        <v>31.67</v>
      </c>
      <c r="O34" s="18"/>
      <c r="P34" s="2" t="s">
        <v>27</v>
      </c>
      <c r="Q34" s="106">
        <f t="shared" ref="Q34:Q36" si="20">E31</f>
        <v>24.3</v>
      </c>
      <c r="R34" s="123" t="s">
        <v>27</v>
      </c>
      <c r="S34" s="124">
        <f>E31</f>
        <v>24.3</v>
      </c>
      <c r="AC34" s="12"/>
    </row>
    <row r="35" spans="1:29" ht="15.75" x14ac:dyDescent="0.2">
      <c r="A35" s="2" t="s">
        <v>55</v>
      </c>
      <c r="B35" s="11"/>
      <c r="C35" s="32">
        <v>33.89</v>
      </c>
      <c r="D35" s="10">
        <v>28.47</v>
      </c>
      <c r="E35" s="95">
        <v>26.57</v>
      </c>
      <c r="F35" s="17">
        <v>64.44</v>
      </c>
      <c r="H35" s="12" t="s">
        <v>11</v>
      </c>
      <c r="I35" s="33" t="s">
        <v>27</v>
      </c>
      <c r="J35" s="13">
        <f>D31</f>
        <v>27.42</v>
      </c>
      <c r="K35" s="129" t="s">
        <v>55</v>
      </c>
      <c r="L35" s="128">
        <f>D35</f>
        <v>28.47</v>
      </c>
      <c r="O35" s="18"/>
      <c r="P35" s="2" t="s">
        <v>26</v>
      </c>
      <c r="Q35" s="106">
        <f t="shared" si="20"/>
        <v>24.42</v>
      </c>
      <c r="R35" s="123" t="s">
        <v>26</v>
      </c>
      <c r="S35" s="124">
        <f>E32</f>
        <v>24.42</v>
      </c>
      <c r="AC35" s="12"/>
    </row>
    <row r="36" spans="1:29" ht="15.75" x14ac:dyDescent="0.2">
      <c r="A36" s="2" t="s">
        <v>53</v>
      </c>
      <c r="B36" s="11"/>
      <c r="C36" s="11">
        <v>33.31</v>
      </c>
      <c r="D36" s="29"/>
      <c r="E36" s="96">
        <v>26.89</v>
      </c>
      <c r="F36" s="15">
        <v>59.47</v>
      </c>
      <c r="H36" s="21" t="s">
        <v>12</v>
      </c>
      <c r="I36" s="34" t="s">
        <v>32</v>
      </c>
      <c r="J36" s="22">
        <f>E30</f>
        <v>24.28</v>
      </c>
      <c r="K36" s="135" t="s">
        <v>89</v>
      </c>
      <c r="L36" s="134">
        <f>E34</f>
        <v>26.11</v>
      </c>
      <c r="M36" s="24"/>
      <c r="N36" s="22"/>
      <c r="O36" s="18"/>
      <c r="P36" s="30" t="s">
        <v>33</v>
      </c>
      <c r="Q36" s="100">
        <f t="shared" si="20"/>
        <v>25.43</v>
      </c>
      <c r="R36" s="125" t="s">
        <v>89</v>
      </c>
      <c r="S36" s="126">
        <f>E34</f>
        <v>26.11</v>
      </c>
      <c r="T36" s="24"/>
      <c r="U36" s="22"/>
      <c r="V36" s="24"/>
      <c r="W36" s="22"/>
      <c r="AC36" s="12"/>
    </row>
    <row r="37" spans="1:29" ht="15.75" x14ac:dyDescent="0.2">
      <c r="A37" s="2" t="s">
        <v>88</v>
      </c>
      <c r="B37" s="11">
        <v>33.729999999999997</v>
      </c>
      <c r="C37" s="11"/>
      <c r="D37" s="29">
        <v>29.52</v>
      </c>
      <c r="E37" s="96">
        <v>27.16</v>
      </c>
      <c r="F37" s="15">
        <v>60.55</v>
      </c>
      <c r="H37" s="12"/>
      <c r="I37" s="19" t="s">
        <v>30</v>
      </c>
      <c r="J37" s="13">
        <f>SUM(J33:J36)</f>
        <v>110.68</v>
      </c>
      <c r="K37" s="129" t="s">
        <v>30</v>
      </c>
      <c r="L37" s="91">
        <f>SUM(L33:L36)</f>
        <v>114.36</v>
      </c>
      <c r="M37" s="19" t="s">
        <v>30</v>
      </c>
      <c r="N37" s="13">
        <f>SUM(N33:N36)</f>
        <v>0</v>
      </c>
      <c r="O37" s="18"/>
      <c r="P37" s="12" t="s">
        <v>30</v>
      </c>
      <c r="Q37" s="44">
        <f>SUM(Q33:Q36)</f>
        <v>98.43</v>
      </c>
      <c r="R37" s="127" t="s">
        <v>30</v>
      </c>
      <c r="S37" s="91">
        <f t="shared" ref="S37" si="21">SUM(S33:S36)</f>
        <v>99.11</v>
      </c>
      <c r="T37" s="19" t="s">
        <v>30</v>
      </c>
      <c r="U37" s="13">
        <f t="shared" ref="U37" si="22">SUM(U33:U36)</f>
        <v>0</v>
      </c>
      <c r="V37" s="19" t="s">
        <v>30</v>
      </c>
      <c r="W37" s="13">
        <f t="shared" ref="W37" si="23">SUM(W33:W36)</f>
        <v>0</v>
      </c>
      <c r="AC37" s="12"/>
    </row>
    <row r="38" spans="1:29" ht="15.75" x14ac:dyDescent="0.2">
      <c r="A38" s="2" t="s">
        <v>34</v>
      </c>
      <c r="B38" s="32">
        <v>30.28</v>
      </c>
      <c r="C38" s="11">
        <v>31.67</v>
      </c>
      <c r="D38" s="29">
        <v>28.65</v>
      </c>
      <c r="E38" s="95">
        <v>27.48</v>
      </c>
      <c r="F38" s="15">
        <v>59.69</v>
      </c>
      <c r="H38" s="12"/>
      <c r="I38" s="19" t="s">
        <v>31</v>
      </c>
      <c r="J38" s="13">
        <f>J37-60</f>
        <v>50.680000000000007</v>
      </c>
      <c r="K38" s="129" t="s">
        <v>31</v>
      </c>
      <c r="L38" s="91">
        <f>L37-60</f>
        <v>54.36</v>
      </c>
      <c r="M38" s="19" t="s">
        <v>47</v>
      </c>
      <c r="N38" s="13">
        <f>N37-60</f>
        <v>-60</v>
      </c>
      <c r="O38" s="18"/>
      <c r="P38" s="12" t="s">
        <v>31</v>
      </c>
      <c r="Q38" s="44">
        <f>Q37-60</f>
        <v>38.430000000000007</v>
      </c>
      <c r="R38" s="127" t="s">
        <v>47</v>
      </c>
      <c r="S38" s="91">
        <f t="shared" ref="S38" si="24">S37-60</f>
        <v>39.11</v>
      </c>
      <c r="T38" s="19" t="s">
        <v>47</v>
      </c>
      <c r="U38" s="13">
        <f t="shared" ref="U38" si="25">U37-60</f>
        <v>-60</v>
      </c>
      <c r="V38" s="19" t="s">
        <v>47</v>
      </c>
      <c r="W38" s="13">
        <f t="shared" ref="W38" si="26">W37-60</f>
        <v>-60</v>
      </c>
      <c r="AC38" s="12"/>
    </row>
    <row r="39" spans="1:29" ht="15.75" x14ac:dyDescent="0.2">
      <c r="A39" s="2" t="s">
        <v>95</v>
      </c>
      <c r="B39" s="11">
        <v>31.47</v>
      </c>
      <c r="C39" s="11"/>
      <c r="D39" s="29"/>
      <c r="E39" s="96">
        <v>28.05</v>
      </c>
      <c r="F39" s="15">
        <v>60.04</v>
      </c>
      <c r="AC39" s="12"/>
    </row>
    <row r="40" spans="1:29" ht="15.75" x14ac:dyDescent="0.2">
      <c r="A40" s="2" t="s">
        <v>94</v>
      </c>
      <c r="B40" s="11">
        <v>32.65</v>
      </c>
      <c r="C40" s="11"/>
      <c r="D40" s="29"/>
      <c r="E40" s="96"/>
      <c r="F40" s="15"/>
      <c r="AC40" s="12"/>
    </row>
    <row r="41" spans="1:29" ht="15.75" x14ac:dyDescent="0.2">
      <c r="H41" s="12"/>
      <c r="I41" s="12"/>
      <c r="J41" s="12"/>
      <c r="K41" s="12"/>
      <c r="L41" s="12"/>
      <c r="M41" s="12"/>
    </row>
    <row r="42" spans="1:29" ht="15.75" x14ac:dyDescent="0.2">
      <c r="H42" s="18"/>
      <c r="I42" s="14" t="s">
        <v>17</v>
      </c>
      <c r="J42" s="109" t="s">
        <v>120</v>
      </c>
      <c r="K42" s="105" t="s">
        <v>125</v>
      </c>
      <c r="L42" s="12"/>
    </row>
    <row r="43" spans="1:29" ht="15.75" x14ac:dyDescent="0.2">
      <c r="B43" s="45"/>
      <c r="H43" s="18"/>
      <c r="I43" s="123" t="s">
        <v>3</v>
      </c>
      <c r="J43" s="124">
        <f>F6</f>
        <v>53.64</v>
      </c>
      <c r="K43" s="2"/>
      <c r="L43" s="13"/>
    </row>
    <row r="44" spans="1:29" ht="15.75" x14ac:dyDescent="0.2">
      <c r="H44" s="18"/>
      <c r="I44" s="123" t="s">
        <v>48</v>
      </c>
      <c r="J44" s="124">
        <f>F5</f>
        <v>53.78</v>
      </c>
      <c r="K44" s="2"/>
      <c r="L44" s="13"/>
    </row>
    <row r="45" spans="1:29" ht="15.75" x14ac:dyDescent="0.2">
      <c r="H45" s="18"/>
      <c r="I45" s="123" t="s">
        <v>49</v>
      </c>
      <c r="J45" s="124">
        <f>F8</f>
        <v>55.98</v>
      </c>
      <c r="K45" s="2"/>
      <c r="L45" s="13"/>
    </row>
    <row r="46" spans="1:29" ht="15.75" x14ac:dyDescent="0.2">
      <c r="H46" s="18"/>
      <c r="I46" s="125" t="s">
        <v>15</v>
      </c>
      <c r="J46" s="126">
        <f>F7</f>
        <v>57.54</v>
      </c>
      <c r="K46" s="30"/>
      <c r="L46" s="22"/>
    </row>
    <row r="47" spans="1:29" ht="15.75" x14ac:dyDescent="0.2">
      <c r="H47" s="18"/>
      <c r="I47" s="127" t="s">
        <v>30</v>
      </c>
      <c r="J47" s="128">
        <f>SUM(J43:J46)</f>
        <v>220.94</v>
      </c>
      <c r="K47" s="12" t="s">
        <v>30</v>
      </c>
      <c r="L47" s="15">
        <f>SUM(L43:L46)</f>
        <v>0</v>
      </c>
    </row>
    <row r="48" spans="1:29" ht="15.75" x14ac:dyDescent="0.2">
      <c r="H48" s="18"/>
      <c r="I48" s="127" t="s">
        <v>29</v>
      </c>
      <c r="J48" s="128">
        <f>J47-180</f>
        <v>40.94</v>
      </c>
      <c r="K48" s="24" t="s">
        <v>29</v>
      </c>
      <c r="L48" s="22">
        <f>L47-180</f>
        <v>-180</v>
      </c>
    </row>
    <row r="49" spans="8:14" ht="15.75" x14ac:dyDescent="0.2">
      <c r="H49" s="42"/>
      <c r="I49" s="39" t="s">
        <v>25</v>
      </c>
      <c r="J49" s="111" t="s">
        <v>111</v>
      </c>
      <c r="K49" s="114" t="s">
        <v>124</v>
      </c>
      <c r="L49" s="12"/>
    </row>
    <row r="50" spans="8:14" ht="15.75" x14ac:dyDescent="0.2">
      <c r="H50" s="18"/>
      <c r="I50" s="12" t="s">
        <v>14</v>
      </c>
      <c r="J50" s="44">
        <f>F10</f>
        <v>58.6</v>
      </c>
      <c r="K50" s="127" t="s">
        <v>46</v>
      </c>
      <c r="L50" s="91">
        <f>F11</f>
        <v>61.97</v>
      </c>
    </row>
    <row r="51" spans="8:14" ht="15.75" x14ac:dyDescent="0.2">
      <c r="H51" s="18"/>
      <c r="I51" s="12" t="s">
        <v>8</v>
      </c>
      <c r="J51" s="44">
        <f>F9</f>
        <v>61.32</v>
      </c>
      <c r="K51" s="123" t="s">
        <v>16</v>
      </c>
      <c r="L51" s="91">
        <f>F13</f>
        <v>66.56</v>
      </c>
    </row>
    <row r="52" spans="8:14" ht="15.75" x14ac:dyDescent="0.2">
      <c r="H52" s="18"/>
      <c r="I52" s="12" t="s">
        <v>46</v>
      </c>
      <c r="J52" s="44">
        <f>F11</f>
        <v>61.97</v>
      </c>
      <c r="K52" s="123" t="s">
        <v>134</v>
      </c>
      <c r="L52" s="91">
        <f>F18</f>
        <v>67.2</v>
      </c>
    </row>
    <row r="53" spans="8:14" ht="15.75" x14ac:dyDescent="0.2">
      <c r="H53" s="18"/>
      <c r="I53" s="21" t="s">
        <v>28</v>
      </c>
      <c r="J53" s="23">
        <f>F12</f>
        <v>64.459999999999994</v>
      </c>
      <c r="K53" s="132" t="s">
        <v>81</v>
      </c>
      <c r="L53" s="140">
        <f>F16</f>
        <v>67.59</v>
      </c>
    </row>
    <row r="54" spans="8:14" ht="15.75" x14ac:dyDescent="0.2">
      <c r="H54" s="18"/>
      <c r="I54" s="12" t="s">
        <v>30</v>
      </c>
      <c r="J54" s="44">
        <f>SUM(J50:J53)</f>
        <v>246.34999999999997</v>
      </c>
      <c r="K54" s="129" t="s">
        <v>30</v>
      </c>
      <c r="L54" s="91">
        <f>SUM(L50:L53)</f>
        <v>263.32000000000005</v>
      </c>
    </row>
    <row r="55" spans="8:14" ht="15.75" x14ac:dyDescent="0.2">
      <c r="H55" s="18"/>
      <c r="I55" s="12" t="s">
        <v>45</v>
      </c>
      <c r="J55" s="44">
        <f>J54-240</f>
        <v>6.3499999999999659</v>
      </c>
      <c r="K55" s="129" t="s">
        <v>45</v>
      </c>
      <c r="L55" s="91">
        <f>L54-240</f>
        <v>23.32000000000005</v>
      </c>
    </row>
    <row r="56" spans="8:14" ht="15.75" x14ac:dyDescent="0.2">
      <c r="H56" s="18"/>
      <c r="I56" s="18"/>
      <c r="J56" s="18"/>
      <c r="K56" s="18"/>
      <c r="L56" s="18"/>
    </row>
    <row r="57" spans="8:14" ht="15.75" x14ac:dyDescent="0.2">
      <c r="H57" s="18"/>
      <c r="I57" s="14" t="s">
        <v>17</v>
      </c>
      <c r="J57" s="109" t="s">
        <v>119</v>
      </c>
      <c r="K57" s="114" t="s">
        <v>123</v>
      </c>
      <c r="L57" s="12"/>
    </row>
    <row r="58" spans="8:14" ht="15.75" x14ac:dyDescent="0.2">
      <c r="H58" s="18"/>
      <c r="I58" s="2" t="s">
        <v>13</v>
      </c>
      <c r="J58" s="74">
        <f>F26</f>
        <v>47.16</v>
      </c>
      <c r="K58" s="129" t="s">
        <v>33</v>
      </c>
      <c r="L58" s="91">
        <f>F33</f>
        <v>55.42</v>
      </c>
    </row>
    <row r="59" spans="8:14" ht="15.75" x14ac:dyDescent="0.2">
      <c r="H59" s="18"/>
      <c r="I59" s="2" t="s">
        <v>21</v>
      </c>
      <c r="J59" s="74">
        <f>F28</f>
        <v>51.2</v>
      </c>
      <c r="K59" s="130" t="s">
        <v>32</v>
      </c>
      <c r="L59" s="91">
        <f>F30</f>
        <v>55.64</v>
      </c>
      <c r="M59" s="5">
        <v>53.2</v>
      </c>
      <c r="N59" s="45">
        <f>L59-M59</f>
        <v>2.4399999999999977</v>
      </c>
    </row>
    <row r="60" spans="8:14" ht="15.75" x14ac:dyDescent="0.2">
      <c r="H60" s="18"/>
      <c r="I60" s="2" t="s">
        <v>20</v>
      </c>
      <c r="J60" s="74">
        <f>F27</f>
        <v>53.75</v>
      </c>
      <c r="K60" s="130" t="s">
        <v>26</v>
      </c>
      <c r="L60" s="131">
        <f>F32</f>
        <v>56.16</v>
      </c>
      <c r="M60" s="5" t="s">
        <v>137</v>
      </c>
    </row>
    <row r="61" spans="8:14" ht="15.75" x14ac:dyDescent="0.2">
      <c r="H61" s="18"/>
      <c r="I61" s="30" t="s">
        <v>33</v>
      </c>
      <c r="J61" s="100">
        <f>F33</f>
        <v>55.42</v>
      </c>
      <c r="K61" s="132" t="s">
        <v>27</v>
      </c>
      <c r="L61" s="133">
        <f>F31</f>
        <v>56.75</v>
      </c>
    </row>
    <row r="62" spans="8:14" ht="15.75" x14ac:dyDescent="0.2">
      <c r="H62" s="18"/>
      <c r="I62" s="12" t="s">
        <v>30</v>
      </c>
      <c r="J62" s="44">
        <f>SUM(J58:J61)</f>
        <v>207.53000000000003</v>
      </c>
      <c r="K62" s="129" t="s">
        <v>30</v>
      </c>
      <c r="L62" s="91">
        <f>SUM(L58:L61)</f>
        <v>223.97</v>
      </c>
    </row>
    <row r="63" spans="8:14" ht="15.75" x14ac:dyDescent="0.2">
      <c r="H63" s="18"/>
      <c r="I63" s="12" t="s">
        <v>29</v>
      </c>
      <c r="J63" s="44">
        <f>J62-180</f>
        <v>27.53000000000003</v>
      </c>
      <c r="K63" s="129" t="s">
        <v>29</v>
      </c>
      <c r="L63" s="91">
        <f>L62-180</f>
        <v>43.97</v>
      </c>
    </row>
    <row r="64" spans="8:14" ht="15.75" x14ac:dyDescent="0.2">
      <c r="H64" s="42"/>
      <c r="I64" s="38" t="s">
        <v>25</v>
      </c>
      <c r="J64" s="111" t="s">
        <v>121</v>
      </c>
      <c r="K64" s="113" t="s">
        <v>122</v>
      </c>
      <c r="L64" s="39"/>
    </row>
    <row r="65" spans="8:12" ht="15.75" x14ac:dyDescent="0.2">
      <c r="H65" s="18"/>
      <c r="I65" s="2" t="s">
        <v>32</v>
      </c>
      <c r="J65" s="44">
        <f>F30</f>
        <v>55.64</v>
      </c>
      <c r="K65" s="123" t="s">
        <v>53</v>
      </c>
      <c r="L65" s="128">
        <f>F36</f>
        <v>59.47</v>
      </c>
    </row>
    <row r="66" spans="8:12" ht="15.75" x14ac:dyDescent="0.2">
      <c r="H66" s="18"/>
      <c r="I66" s="2" t="s">
        <v>26</v>
      </c>
      <c r="J66" s="44">
        <f>F32</f>
        <v>56.16</v>
      </c>
      <c r="K66" s="123" t="s">
        <v>95</v>
      </c>
      <c r="L66" s="128">
        <f>F39</f>
        <v>60.04</v>
      </c>
    </row>
    <row r="67" spans="8:12" ht="15.75" x14ac:dyDescent="0.2">
      <c r="H67" s="18"/>
      <c r="I67" s="2" t="s">
        <v>27</v>
      </c>
      <c r="J67" s="44">
        <f>F31</f>
        <v>56.75</v>
      </c>
      <c r="K67" s="130" t="s">
        <v>88</v>
      </c>
      <c r="L67" s="128">
        <f>F37</f>
        <v>60.55</v>
      </c>
    </row>
    <row r="68" spans="8:12" ht="15.75" x14ac:dyDescent="0.2">
      <c r="H68" s="18"/>
      <c r="I68" s="30" t="s">
        <v>35</v>
      </c>
      <c r="J68" s="23">
        <f>F29</f>
        <v>56.92</v>
      </c>
      <c r="K68" s="125" t="s">
        <v>135</v>
      </c>
      <c r="L68" s="134">
        <f>F34</f>
        <v>61.6</v>
      </c>
    </row>
    <row r="69" spans="8:12" ht="15.75" x14ac:dyDescent="0.2">
      <c r="H69" s="18"/>
      <c r="I69" s="19" t="s">
        <v>30</v>
      </c>
      <c r="J69" s="44">
        <f>SUM(J65:J68)</f>
        <v>225.47000000000003</v>
      </c>
      <c r="K69" s="129" t="s">
        <v>30</v>
      </c>
      <c r="L69" s="91">
        <f>SUM(L65:L68)</f>
        <v>241.66</v>
      </c>
    </row>
    <row r="70" spans="8:12" ht="15.75" x14ac:dyDescent="0.2">
      <c r="H70" s="18"/>
      <c r="I70" s="19" t="s">
        <v>29</v>
      </c>
      <c r="J70" s="51">
        <f>J69-180</f>
        <v>45.470000000000027</v>
      </c>
      <c r="K70" s="129" t="s">
        <v>29</v>
      </c>
      <c r="L70" s="91">
        <f>L69-180</f>
        <v>61.66</v>
      </c>
    </row>
  </sheetData>
  <autoFilter ref="A3:F3" xr:uid="{C58814CE-708D-4CDB-93DD-2EA18668DC56}"/>
  <conditionalFormatting sqref="B34:E37 B39:E40">
    <cfRule type="cellIs" dxfId="41" priority="16" operator="equal">
      <formula>0</formula>
    </cfRule>
  </conditionalFormatting>
  <conditionalFormatting sqref="B4:F20">
    <cfRule type="cellIs" dxfId="40" priority="1" operator="equal">
      <formula>0</formula>
    </cfRule>
  </conditionalFormatting>
  <conditionalFormatting sqref="B25:F33">
    <cfRule type="cellIs" dxfId="39" priority="18" operator="equal">
      <formula>0</formula>
    </cfRule>
  </conditionalFormatting>
  <conditionalFormatting sqref="B38:F38">
    <cfRule type="cellIs" dxfId="38" priority="17" operator="equal">
      <formula>0</formula>
    </cfRule>
  </conditionalFormatting>
  <conditionalFormatting sqref="J5:J8 L7:L9">
    <cfRule type="cellIs" dxfId="37" priority="29" operator="equal">
      <formula>0</formula>
    </cfRule>
  </conditionalFormatting>
  <conditionalFormatting sqref="J22:J24">
    <cfRule type="cellIs" dxfId="36" priority="28" operator="equal">
      <formula>0</formula>
    </cfRule>
  </conditionalFormatting>
  <conditionalFormatting sqref="J26:J29">
    <cfRule type="cellIs" dxfId="35" priority="27" operator="equal">
      <formula>0</formula>
    </cfRule>
  </conditionalFormatting>
  <conditionalFormatting sqref="J43:J46">
    <cfRule type="cellIs" dxfId="34" priority="22" operator="equal">
      <formula>0</formula>
    </cfRule>
  </conditionalFormatting>
  <conditionalFormatting sqref="J58:J61">
    <cfRule type="cellIs" dxfId="33" priority="21" operator="equal">
      <formula>0</formula>
    </cfRule>
  </conditionalFormatting>
  <conditionalFormatting sqref="L16">
    <cfRule type="cellIs" dxfId="32" priority="14" operator="equal">
      <formula>0</formula>
    </cfRule>
  </conditionalFormatting>
  <conditionalFormatting sqref="L28:L30">
    <cfRule type="cellIs" dxfId="31" priority="9" operator="equal">
      <formula>0</formula>
    </cfRule>
  </conditionalFormatting>
  <conditionalFormatting sqref="L47">
    <cfRule type="cellIs" dxfId="30" priority="20" operator="equal">
      <formula>0</formula>
    </cfRule>
  </conditionalFormatting>
  <conditionalFormatting sqref="L60:L61">
    <cfRule type="cellIs" dxfId="29" priority="12" operator="equal">
      <formula>0</formula>
    </cfRule>
  </conditionalFormatting>
  <conditionalFormatting sqref="N16">
    <cfRule type="cellIs" dxfId="28" priority="10" operator="equal">
      <formula>0</formula>
    </cfRule>
  </conditionalFormatting>
  <conditionalFormatting sqref="Q5:Q8">
    <cfRule type="cellIs" dxfId="27" priority="26" operator="equal">
      <formula>0</formula>
    </cfRule>
  </conditionalFormatting>
  <conditionalFormatting sqref="Q22:Q23">
    <cfRule type="cellIs" dxfId="26" priority="25" operator="equal">
      <formula>0</formula>
    </cfRule>
  </conditionalFormatting>
  <conditionalFormatting sqref="Q26:Q29">
    <cfRule type="cellIs" dxfId="25" priority="24" operator="equal">
      <formula>0</formula>
    </cfRule>
  </conditionalFormatting>
  <conditionalFormatting sqref="Q33:Q36">
    <cfRule type="cellIs" dxfId="24" priority="13" operator="equal">
      <formula>0</formula>
    </cfRule>
  </conditionalFormatting>
  <conditionalFormatting sqref="S33:S36">
    <cfRule type="cellIs" dxfId="23" priority="2" operator="equal">
      <formula>0</formula>
    </cfRule>
  </conditionalFormatting>
  <conditionalFormatting sqref="U16 W16">
    <cfRule type="cellIs" dxfId="22" priority="3" operator="equal">
      <formula>0</formula>
    </cfRule>
  </conditionalFormatting>
  <pageMargins left="0.2" right="0.2" top="0.75" bottom="0.75" header="0.3" footer="0.3"/>
  <pageSetup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2E474-6AC6-4033-A211-C1B25D638733}">
  <sheetPr>
    <pageSetUpPr fitToPage="1"/>
  </sheetPr>
  <dimension ref="A1:AF70"/>
  <sheetViews>
    <sheetView zoomScale="70" zoomScaleNormal="70" workbookViewId="0">
      <selection activeCell="E31" sqref="E24:E31"/>
    </sheetView>
  </sheetViews>
  <sheetFormatPr defaultRowHeight="12.75" x14ac:dyDescent="0.2"/>
  <cols>
    <col min="1" max="1" width="21.140625" style="5" customWidth="1"/>
    <col min="2" max="4" width="11" style="5" customWidth="1"/>
    <col min="5" max="5" width="11.42578125" style="5" customWidth="1"/>
    <col min="6" max="6" width="11" style="5" customWidth="1"/>
    <col min="7" max="8" width="8.85546875" style="5"/>
    <col min="9" max="9" width="18.85546875" style="5" bestFit="1" customWidth="1"/>
    <col min="10" max="10" width="11.5703125" style="5" bestFit="1" customWidth="1"/>
    <col min="11" max="11" width="19.28515625" style="5" customWidth="1"/>
    <col min="12" max="12" width="11.5703125" style="5" bestFit="1" customWidth="1"/>
    <col min="13" max="13" width="16" style="5" bestFit="1" customWidth="1"/>
    <col min="14" max="14" width="11.5703125" style="5" bestFit="1" customWidth="1"/>
    <col min="15" max="15" width="16" style="5" bestFit="1" customWidth="1"/>
    <col min="16" max="16" width="11.5703125" style="5" bestFit="1" customWidth="1"/>
    <col min="17" max="17" width="3.7109375" style="5" customWidth="1"/>
    <col min="18" max="18" width="20.7109375" style="5" bestFit="1" customWidth="1"/>
    <col min="19" max="19" width="9.140625" style="5"/>
    <col min="20" max="20" width="16.42578125" style="5" bestFit="1" customWidth="1"/>
    <col min="21" max="21" width="9.140625" style="5"/>
    <col min="22" max="23" width="0" style="5" hidden="1" customWidth="1"/>
    <col min="24" max="24" width="16.42578125" style="5" bestFit="1" customWidth="1"/>
    <col min="25" max="25" width="9.140625" style="5"/>
    <col min="26" max="26" width="3.7109375" style="5" customWidth="1"/>
    <col min="27" max="27" width="20.7109375" style="5" bestFit="1" customWidth="1"/>
    <col min="28" max="28" width="11.28515625" style="5" customWidth="1"/>
    <col min="29" max="29" width="16" style="5" customWidth="1"/>
    <col min="30" max="30" width="12" style="5" customWidth="1"/>
    <col min="31" max="31" width="11.42578125" style="5" customWidth="1"/>
    <col min="32" max="239" width="8.85546875" style="5"/>
    <col min="240" max="240" width="21.140625" style="5" customWidth="1"/>
    <col min="241" max="241" width="11" style="5" customWidth="1"/>
    <col min="242" max="242" width="9" style="5" customWidth="1"/>
    <col min="243" max="243" width="0.7109375" style="5" customWidth="1"/>
    <col min="244" max="244" width="11" style="5" customWidth="1"/>
    <col min="245" max="245" width="8.85546875" style="5"/>
    <col min="246" max="246" width="0.7109375" style="5" customWidth="1"/>
    <col min="247" max="247" width="11" style="5" customWidth="1"/>
    <col min="248" max="248" width="8.85546875" style="5"/>
    <col min="249" max="249" width="0.7109375" style="5" customWidth="1"/>
    <col min="250" max="250" width="16.42578125" style="5" customWidth="1"/>
    <col min="251" max="251" width="8.85546875" style="5"/>
    <col min="252" max="252" width="0.7109375" style="5" customWidth="1"/>
    <col min="253" max="253" width="11" style="5" customWidth="1"/>
    <col min="254" max="254" width="8.85546875" style="5"/>
    <col min="255" max="255" width="0.7109375" style="5" customWidth="1"/>
    <col min="256" max="256" width="11" style="5" customWidth="1"/>
    <col min="257" max="257" width="8.85546875" style="5"/>
    <col min="258" max="258" width="0.7109375" style="5" customWidth="1"/>
    <col min="259" max="259" width="11" style="5" customWidth="1"/>
    <col min="260" max="260" width="8.85546875" style="5"/>
    <col min="261" max="261" width="0.7109375" style="5" customWidth="1"/>
    <col min="262" max="262" width="11" style="5" customWidth="1"/>
    <col min="263" max="263" width="8.85546875" style="5"/>
    <col min="264" max="264" width="0.7109375" style="5" customWidth="1"/>
    <col min="265" max="265" width="11" style="5" customWidth="1"/>
    <col min="266" max="495" width="8.85546875" style="5"/>
    <col min="496" max="496" width="21.140625" style="5" customWidth="1"/>
    <col min="497" max="497" width="11" style="5" customWidth="1"/>
    <col min="498" max="498" width="9" style="5" customWidth="1"/>
    <col min="499" max="499" width="0.7109375" style="5" customWidth="1"/>
    <col min="500" max="500" width="11" style="5" customWidth="1"/>
    <col min="501" max="501" width="8.85546875" style="5"/>
    <col min="502" max="502" width="0.7109375" style="5" customWidth="1"/>
    <col min="503" max="503" width="11" style="5" customWidth="1"/>
    <col min="504" max="504" width="8.85546875" style="5"/>
    <col min="505" max="505" width="0.7109375" style="5" customWidth="1"/>
    <col min="506" max="506" width="16.42578125" style="5" customWidth="1"/>
    <col min="507" max="507" width="8.85546875" style="5"/>
    <col min="508" max="508" width="0.7109375" style="5" customWidth="1"/>
    <col min="509" max="509" width="11" style="5" customWidth="1"/>
    <col min="510" max="510" width="8.85546875" style="5"/>
    <col min="511" max="511" width="0.7109375" style="5" customWidth="1"/>
    <col min="512" max="512" width="11" style="5" customWidth="1"/>
    <col min="513" max="513" width="8.85546875" style="5"/>
    <col min="514" max="514" width="0.7109375" style="5" customWidth="1"/>
    <col min="515" max="515" width="11" style="5" customWidth="1"/>
    <col min="516" max="516" width="8.85546875" style="5"/>
    <col min="517" max="517" width="0.7109375" style="5" customWidth="1"/>
    <col min="518" max="518" width="11" style="5" customWidth="1"/>
    <col min="519" max="519" width="8.85546875" style="5"/>
    <col min="520" max="520" width="0.7109375" style="5" customWidth="1"/>
    <col min="521" max="521" width="11" style="5" customWidth="1"/>
    <col min="522" max="751" width="8.85546875" style="5"/>
    <col min="752" max="752" width="21.140625" style="5" customWidth="1"/>
    <col min="753" max="753" width="11" style="5" customWidth="1"/>
    <col min="754" max="754" width="9" style="5" customWidth="1"/>
    <col min="755" max="755" width="0.7109375" style="5" customWidth="1"/>
    <col min="756" max="756" width="11" style="5" customWidth="1"/>
    <col min="757" max="757" width="8.85546875" style="5"/>
    <col min="758" max="758" width="0.7109375" style="5" customWidth="1"/>
    <col min="759" max="759" width="11" style="5" customWidth="1"/>
    <col min="760" max="760" width="8.85546875" style="5"/>
    <col min="761" max="761" width="0.7109375" style="5" customWidth="1"/>
    <col min="762" max="762" width="16.42578125" style="5" customWidth="1"/>
    <col min="763" max="763" width="8.85546875" style="5"/>
    <col min="764" max="764" width="0.7109375" style="5" customWidth="1"/>
    <col min="765" max="765" width="11" style="5" customWidth="1"/>
    <col min="766" max="766" width="8.85546875" style="5"/>
    <col min="767" max="767" width="0.7109375" style="5" customWidth="1"/>
    <col min="768" max="768" width="11" style="5" customWidth="1"/>
    <col min="769" max="769" width="8.85546875" style="5"/>
    <col min="770" max="770" width="0.7109375" style="5" customWidth="1"/>
    <col min="771" max="771" width="11" style="5" customWidth="1"/>
    <col min="772" max="772" width="8.85546875" style="5"/>
    <col min="773" max="773" width="0.7109375" style="5" customWidth="1"/>
    <col min="774" max="774" width="11" style="5" customWidth="1"/>
    <col min="775" max="775" width="8.85546875" style="5"/>
    <col min="776" max="776" width="0.7109375" style="5" customWidth="1"/>
    <col min="777" max="777" width="11" style="5" customWidth="1"/>
    <col min="778" max="1007" width="8.85546875" style="5"/>
    <col min="1008" max="1008" width="21.140625" style="5" customWidth="1"/>
    <col min="1009" max="1009" width="11" style="5" customWidth="1"/>
    <col min="1010" max="1010" width="9" style="5" customWidth="1"/>
    <col min="1011" max="1011" width="0.7109375" style="5" customWidth="1"/>
    <col min="1012" max="1012" width="11" style="5" customWidth="1"/>
    <col min="1013" max="1013" width="8.85546875" style="5"/>
    <col min="1014" max="1014" width="0.7109375" style="5" customWidth="1"/>
    <col min="1015" max="1015" width="11" style="5" customWidth="1"/>
    <col min="1016" max="1016" width="8.85546875" style="5"/>
    <col min="1017" max="1017" width="0.7109375" style="5" customWidth="1"/>
    <col min="1018" max="1018" width="16.42578125" style="5" customWidth="1"/>
    <col min="1019" max="1019" width="8.85546875" style="5"/>
    <col min="1020" max="1020" width="0.7109375" style="5" customWidth="1"/>
    <col min="1021" max="1021" width="11" style="5" customWidth="1"/>
    <col min="1022" max="1022" width="8.85546875" style="5"/>
    <col min="1023" max="1023" width="0.7109375" style="5" customWidth="1"/>
    <col min="1024" max="1024" width="11" style="5" customWidth="1"/>
    <col min="1025" max="1025" width="8.85546875" style="5"/>
    <col min="1026" max="1026" width="0.7109375" style="5" customWidth="1"/>
    <col min="1027" max="1027" width="11" style="5" customWidth="1"/>
    <col min="1028" max="1028" width="8.85546875" style="5"/>
    <col min="1029" max="1029" width="0.7109375" style="5" customWidth="1"/>
    <col min="1030" max="1030" width="11" style="5" customWidth="1"/>
    <col min="1031" max="1031" width="8.85546875" style="5"/>
    <col min="1032" max="1032" width="0.7109375" style="5" customWidth="1"/>
    <col min="1033" max="1033" width="11" style="5" customWidth="1"/>
    <col min="1034" max="1263" width="8.85546875" style="5"/>
    <col min="1264" max="1264" width="21.140625" style="5" customWidth="1"/>
    <col min="1265" max="1265" width="11" style="5" customWidth="1"/>
    <col min="1266" max="1266" width="9" style="5" customWidth="1"/>
    <col min="1267" max="1267" width="0.7109375" style="5" customWidth="1"/>
    <col min="1268" max="1268" width="11" style="5" customWidth="1"/>
    <col min="1269" max="1269" width="8.85546875" style="5"/>
    <col min="1270" max="1270" width="0.7109375" style="5" customWidth="1"/>
    <col min="1271" max="1271" width="11" style="5" customWidth="1"/>
    <col min="1272" max="1272" width="8.85546875" style="5"/>
    <col min="1273" max="1273" width="0.7109375" style="5" customWidth="1"/>
    <col min="1274" max="1274" width="16.42578125" style="5" customWidth="1"/>
    <col min="1275" max="1275" width="8.85546875" style="5"/>
    <col min="1276" max="1276" width="0.7109375" style="5" customWidth="1"/>
    <col min="1277" max="1277" width="11" style="5" customWidth="1"/>
    <col min="1278" max="1278" width="8.85546875" style="5"/>
    <col min="1279" max="1279" width="0.7109375" style="5" customWidth="1"/>
    <col min="1280" max="1280" width="11" style="5" customWidth="1"/>
    <col min="1281" max="1281" width="8.85546875" style="5"/>
    <col min="1282" max="1282" width="0.7109375" style="5" customWidth="1"/>
    <col min="1283" max="1283" width="11" style="5" customWidth="1"/>
    <col min="1284" max="1284" width="8.85546875" style="5"/>
    <col min="1285" max="1285" width="0.7109375" style="5" customWidth="1"/>
    <col min="1286" max="1286" width="11" style="5" customWidth="1"/>
    <col min="1287" max="1287" width="8.85546875" style="5"/>
    <col min="1288" max="1288" width="0.7109375" style="5" customWidth="1"/>
    <col min="1289" max="1289" width="11" style="5" customWidth="1"/>
    <col min="1290" max="1519" width="8.85546875" style="5"/>
    <col min="1520" max="1520" width="21.140625" style="5" customWidth="1"/>
    <col min="1521" max="1521" width="11" style="5" customWidth="1"/>
    <col min="1522" max="1522" width="9" style="5" customWidth="1"/>
    <col min="1523" max="1523" width="0.7109375" style="5" customWidth="1"/>
    <col min="1524" max="1524" width="11" style="5" customWidth="1"/>
    <col min="1525" max="1525" width="8.85546875" style="5"/>
    <col min="1526" max="1526" width="0.7109375" style="5" customWidth="1"/>
    <col min="1527" max="1527" width="11" style="5" customWidth="1"/>
    <col min="1528" max="1528" width="8.85546875" style="5"/>
    <col min="1529" max="1529" width="0.7109375" style="5" customWidth="1"/>
    <col min="1530" max="1530" width="16.42578125" style="5" customWidth="1"/>
    <col min="1531" max="1531" width="8.85546875" style="5"/>
    <col min="1532" max="1532" width="0.7109375" style="5" customWidth="1"/>
    <col min="1533" max="1533" width="11" style="5" customWidth="1"/>
    <col min="1534" max="1534" width="8.85546875" style="5"/>
    <col min="1535" max="1535" width="0.7109375" style="5" customWidth="1"/>
    <col min="1536" max="1536" width="11" style="5" customWidth="1"/>
    <col min="1537" max="1537" width="8.85546875" style="5"/>
    <col min="1538" max="1538" width="0.7109375" style="5" customWidth="1"/>
    <col min="1539" max="1539" width="11" style="5" customWidth="1"/>
    <col min="1540" max="1540" width="8.85546875" style="5"/>
    <col min="1541" max="1541" width="0.7109375" style="5" customWidth="1"/>
    <col min="1542" max="1542" width="11" style="5" customWidth="1"/>
    <col min="1543" max="1543" width="8.85546875" style="5"/>
    <col min="1544" max="1544" width="0.7109375" style="5" customWidth="1"/>
    <col min="1545" max="1545" width="11" style="5" customWidth="1"/>
    <col min="1546" max="1775" width="8.85546875" style="5"/>
    <col min="1776" max="1776" width="21.140625" style="5" customWidth="1"/>
    <col min="1777" max="1777" width="11" style="5" customWidth="1"/>
    <col min="1778" max="1778" width="9" style="5" customWidth="1"/>
    <col min="1779" max="1779" width="0.7109375" style="5" customWidth="1"/>
    <col min="1780" max="1780" width="11" style="5" customWidth="1"/>
    <col min="1781" max="1781" width="8.85546875" style="5"/>
    <col min="1782" max="1782" width="0.7109375" style="5" customWidth="1"/>
    <col min="1783" max="1783" width="11" style="5" customWidth="1"/>
    <col min="1784" max="1784" width="8.85546875" style="5"/>
    <col min="1785" max="1785" width="0.7109375" style="5" customWidth="1"/>
    <col min="1786" max="1786" width="16.42578125" style="5" customWidth="1"/>
    <col min="1787" max="1787" width="8.85546875" style="5"/>
    <col min="1788" max="1788" width="0.7109375" style="5" customWidth="1"/>
    <col min="1789" max="1789" width="11" style="5" customWidth="1"/>
    <col min="1790" max="1790" width="8.85546875" style="5"/>
    <col min="1791" max="1791" width="0.7109375" style="5" customWidth="1"/>
    <col min="1792" max="1792" width="11" style="5" customWidth="1"/>
    <col min="1793" max="1793" width="8.85546875" style="5"/>
    <col min="1794" max="1794" width="0.7109375" style="5" customWidth="1"/>
    <col min="1795" max="1795" width="11" style="5" customWidth="1"/>
    <col min="1796" max="1796" width="8.85546875" style="5"/>
    <col min="1797" max="1797" width="0.7109375" style="5" customWidth="1"/>
    <col min="1798" max="1798" width="11" style="5" customWidth="1"/>
    <col min="1799" max="1799" width="8.85546875" style="5"/>
    <col min="1800" max="1800" width="0.7109375" style="5" customWidth="1"/>
    <col min="1801" max="1801" width="11" style="5" customWidth="1"/>
    <col min="1802" max="2031" width="8.85546875" style="5"/>
    <col min="2032" max="2032" width="21.140625" style="5" customWidth="1"/>
    <col min="2033" max="2033" width="11" style="5" customWidth="1"/>
    <col min="2034" max="2034" width="9" style="5" customWidth="1"/>
    <col min="2035" max="2035" width="0.7109375" style="5" customWidth="1"/>
    <col min="2036" max="2036" width="11" style="5" customWidth="1"/>
    <col min="2037" max="2037" width="8.85546875" style="5"/>
    <col min="2038" max="2038" width="0.7109375" style="5" customWidth="1"/>
    <col min="2039" max="2039" width="11" style="5" customWidth="1"/>
    <col min="2040" max="2040" width="8.85546875" style="5"/>
    <col min="2041" max="2041" width="0.7109375" style="5" customWidth="1"/>
    <col min="2042" max="2042" width="16.42578125" style="5" customWidth="1"/>
    <col min="2043" max="2043" width="8.85546875" style="5"/>
    <col min="2044" max="2044" width="0.7109375" style="5" customWidth="1"/>
    <col min="2045" max="2045" width="11" style="5" customWidth="1"/>
    <col min="2046" max="2046" width="8.85546875" style="5"/>
    <col min="2047" max="2047" width="0.7109375" style="5" customWidth="1"/>
    <col min="2048" max="2048" width="11" style="5" customWidth="1"/>
    <col min="2049" max="2049" width="8.85546875" style="5"/>
    <col min="2050" max="2050" width="0.7109375" style="5" customWidth="1"/>
    <col min="2051" max="2051" width="11" style="5" customWidth="1"/>
    <col min="2052" max="2052" width="8.85546875" style="5"/>
    <col min="2053" max="2053" width="0.7109375" style="5" customWidth="1"/>
    <col min="2054" max="2054" width="11" style="5" customWidth="1"/>
    <col min="2055" max="2055" width="8.85546875" style="5"/>
    <col min="2056" max="2056" width="0.7109375" style="5" customWidth="1"/>
    <col min="2057" max="2057" width="11" style="5" customWidth="1"/>
    <col min="2058" max="2287" width="8.85546875" style="5"/>
    <col min="2288" max="2288" width="21.140625" style="5" customWidth="1"/>
    <col min="2289" max="2289" width="11" style="5" customWidth="1"/>
    <col min="2290" max="2290" width="9" style="5" customWidth="1"/>
    <col min="2291" max="2291" width="0.7109375" style="5" customWidth="1"/>
    <col min="2292" max="2292" width="11" style="5" customWidth="1"/>
    <col min="2293" max="2293" width="8.85546875" style="5"/>
    <col min="2294" max="2294" width="0.7109375" style="5" customWidth="1"/>
    <col min="2295" max="2295" width="11" style="5" customWidth="1"/>
    <col min="2296" max="2296" width="8.85546875" style="5"/>
    <col min="2297" max="2297" width="0.7109375" style="5" customWidth="1"/>
    <col min="2298" max="2298" width="16.42578125" style="5" customWidth="1"/>
    <col min="2299" max="2299" width="8.85546875" style="5"/>
    <col min="2300" max="2300" width="0.7109375" style="5" customWidth="1"/>
    <col min="2301" max="2301" width="11" style="5" customWidth="1"/>
    <col min="2302" max="2302" width="8.85546875" style="5"/>
    <col min="2303" max="2303" width="0.7109375" style="5" customWidth="1"/>
    <col min="2304" max="2304" width="11" style="5" customWidth="1"/>
    <col min="2305" max="2305" width="8.85546875" style="5"/>
    <col min="2306" max="2306" width="0.7109375" style="5" customWidth="1"/>
    <col min="2307" max="2307" width="11" style="5" customWidth="1"/>
    <col min="2308" max="2308" width="8.85546875" style="5"/>
    <col min="2309" max="2309" width="0.7109375" style="5" customWidth="1"/>
    <col min="2310" max="2310" width="11" style="5" customWidth="1"/>
    <col min="2311" max="2311" width="8.85546875" style="5"/>
    <col min="2312" max="2312" width="0.7109375" style="5" customWidth="1"/>
    <col min="2313" max="2313" width="11" style="5" customWidth="1"/>
    <col min="2314" max="2543" width="8.85546875" style="5"/>
    <col min="2544" max="2544" width="21.140625" style="5" customWidth="1"/>
    <col min="2545" max="2545" width="11" style="5" customWidth="1"/>
    <col min="2546" max="2546" width="9" style="5" customWidth="1"/>
    <col min="2547" max="2547" width="0.7109375" style="5" customWidth="1"/>
    <col min="2548" max="2548" width="11" style="5" customWidth="1"/>
    <col min="2549" max="2549" width="8.85546875" style="5"/>
    <col min="2550" max="2550" width="0.7109375" style="5" customWidth="1"/>
    <col min="2551" max="2551" width="11" style="5" customWidth="1"/>
    <col min="2552" max="2552" width="8.85546875" style="5"/>
    <col min="2553" max="2553" width="0.7109375" style="5" customWidth="1"/>
    <col min="2554" max="2554" width="16.42578125" style="5" customWidth="1"/>
    <col min="2555" max="2555" width="8.85546875" style="5"/>
    <col min="2556" max="2556" width="0.7109375" style="5" customWidth="1"/>
    <col min="2557" max="2557" width="11" style="5" customWidth="1"/>
    <col min="2558" max="2558" width="8.85546875" style="5"/>
    <col min="2559" max="2559" width="0.7109375" style="5" customWidth="1"/>
    <col min="2560" max="2560" width="11" style="5" customWidth="1"/>
    <col min="2561" max="2561" width="8.85546875" style="5"/>
    <col min="2562" max="2562" width="0.7109375" style="5" customWidth="1"/>
    <col min="2563" max="2563" width="11" style="5" customWidth="1"/>
    <col min="2564" max="2564" width="8.85546875" style="5"/>
    <col min="2565" max="2565" width="0.7109375" style="5" customWidth="1"/>
    <col min="2566" max="2566" width="11" style="5" customWidth="1"/>
    <col min="2567" max="2567" width="8.85546875" style="5"/>
    <col min="2568" max="2568" width="0.7109375" style="5" customWidth="1"/>
    <col min="2569" max="2569" width="11" style="5" customWidth="1"/>
    <col min="2570" max="2799" width="8.85546875" style="5"/>
    <col min="2800" max="2800" width="21.140625" style="5" customWidth="1"/>
    <col min="2801" max="2801" width="11" style="5" customWidth="1"/>
    <col min="2802" max="2802" width="9" style="5" customWidth="1"/>
    <col min="2803" max="2803" width="0.7109375" style="5" customWidth="1"/>
    <col min="2804" max="2804" width="11" style="5" customWidth="1"/>
    <col min="2805" max="2805" width="8.85546875" style="5"/>
    <col min="2806" max="2806" width="0.7109375" style="5" customWidth="1"/>
    <col min="2807" max="2807" width="11" style="5" customWidth="1"/>
    <col min="2808" max="2808" width="8.85546875" style="5"/>
    <col min="2809" max="2809" width="0.7109375" style="5" customWidth="1"/>
    <col min="2810" max="2810" width="16.42578125" style="5" customWidth="1"/>
    <col min="2811" max="2811" width="8.85546875" style="5"/>
    <col min="2812" max="2812" width="0.7109375" style="5" customWidth="1"/>
    <col min="2813" max="2813" width="11" style="5" customWidth="1"/>
    <col min="2814" max="2814" width="8.85546875" style="5"/>
    <col min="2815" max="2815" width="0.7109375" style="5" customWidth="1"/>
    <col min="2816" max="2816" width="11" style="5" customWidth="1"/>
    <col min="2817" max="2817" width="8.85546875" style="5"/>
    <col min="2818" max="2818" width="0.7109375" style="5" customWidth="1"/>
    <col min="2819" max="2819" width="11" style="5" customWidth="1"/>
    <col min="2820" max="2820" width="8.85546875" style="5"/>
    <col min="2821" max="2821" width="0.7109375" style="5" customWidth="1"/>
    <col min="2822" max="2822" width="11" style="5" customWidth="1"/>
    <col min="2823" max="2823" width="8.85546875" style="5"/>
    <col min="2824" max="2824" width="0.7109375" style="5" customWidth="1"/>
    <col min="2825" max="2825" width="11" style="5" customWidth="1"/>
    <col min="2826" max="3055" width="8.85546875" style="5"/>
    <col min="3056" max="3056" width="21.140625" style="5" customWidth="1"/>
    <col min="3057" max="3057" width="11" style="5" customWidth="1"/>
    <col min="3058" max="3058" width="9" style="5" customWidth="1"/>
    <col min="3059" max="3059" width="0.7109375" style="5" customWidth="1"/>
    <col min="3060" max="3060" width="11" style="5" customWidth="1"/>
    <col min="3061" max="3061" width="8.85546875" style="5"/>
    <col min="3062" max="3062" width="0.7109375" style="5" customWidth="1"/>
    <col min="3063" max="3063" width="11" style="5" customWidth="1"/>
    <col min="3064" max="3064" width="8.85546875" style="5"/>
    <col min="3065" max="3065" width="0.7109375" style="5" customWidth="1"/>
    <col min="3066" max="3066" width="16.42578125" style="5" customWidth="1"/>
    <col min="3067" max="3067" width="8.85546875" style="5"/>
    <col min="3068" max="3068" width="0.7109375" style="5" customWidth="1"/>
    <col min="3069" max="3069" width="11" style="5" customWidth="1"/>
    <col min="3070" max="3070" width="8.85546875" style="5"/>
    <col min="3071" max="3071" width="0.7109375" style="5" customWidth="1"/>
    <col min="3072" max="3072" width="11" style="5" customWidth="1"/>
    <col min="3073" max="3073" width="8.85546875" style="5"/>
    <col min="3074" max="3074" width="0.7109375" style="5" customWidth="1"/>
    <col min="3075" max="3075" width="11" style="5" customWidth="1"/>
    <col min="3076" max="3076" width="8.85546875" style="5"/>
    <col min="3077" max="3077" width="0.7109375" style="5" customWidth="1"/>
    <col min="3078" max="3078" width="11" style="5" customWidth="1"/>
    <col min="3079" max="3079" width="8.85546875" style="5"/>
    <col min="3080" max="3080" width="0.7109375" style="5" customWidth="1"/>
    <col min="3081" max="3081" width="11" style="5" customWidth="1"/>
    <col min="3082" max="3311" width="8.85546875" style="5"/>
    <col min="3312" max="3312" width="21.140625" style="5" customWidth="1"/>
    <col min="3313" max="3313" width="11" style="5" customWidth="1"/>
    <col min="3314" max="3314" width="9" style="5" customWidth="1"/>
    <col min="3315" max="3315" width="0.7109375" style="5" customWidth="1"/>
    <col min="3316" max="3316" width="11" style="5" customWidth="1"/>
    <col min="3317" max="3317" width="8.85546875" style="5"/>
    <col min="3318" max="3318" width="0.7109375" style="5" customWidth="1"/>
    <col min="3319" max="3319" width="11" style="5" customWidth="1"/>
    <col min="3320" max="3320" width="8.85546875" style="5"/>
    <col min="3321" max="3321" width="0.7109375" style="5" customWidth="1"/>
    <col min="3322" max="3322" width="16.42578125" style="5" customWidth="1"/>
    <col min="3323" max="3323" width="8.85546875" style="5"/>
    <col min="3324" max="3324" width="0.7109375" style="5" customWidth="1"/>
    <col min="3325" max="3325" width="11" style="5" customWidth="1"/>
    <col min="3326" max="3326" width="8.85546875" style="5"/>
    <col min="3327" max="3327" width="0.7109375" style="5" customWidth="1"/>
    <col min="3328" max="3328" width="11" style="5" customWidth="1"/>
    <col min="3329" max="3329" width="8.85546875" style="5"/>
    <col min="3330" max="3330" width="0.7109375" style="5" customWidth="1"/>
    <col min="3331" max="3331" width="11" style="5" customWidth="1"/>
    <col min="3332" max="3332" width="8.85546875" style="5"/>
    <col min="3333" max="3333" width="0.7109375" style="5" customWidth="1"/>
    <col min="3334" max="3334" width="11" style="5" customWidth="1"/>
    <col min="3335" max="3335" width="8.85546875" style="5"/>
    <col min="3336" max="3336" width="0.7109375" style="5" customWidth="1"/>
    <col min="3337" max="3337" width="11" style="5" customWidth="1"/>
    <col min="3338" max="3567" width="8.85546875" style="5"/>
    <col min="3568" max="3568" width="21.140625" style="5" customWidth="1"/>
    <col min="3569" max="3569" width="11" style="5" customWidth="1"/>
    <col min="3570" max="3570" width="9" style="5" customWidth="1"/>
    <col min="3571" max="3571" width="0.7109375" style="5" customWidth="1"/>
    <col min="3572" max="3572" width="11" style="5" customWidth="1"/>
    <col min="3573" max="3573" width="8.85546875" style="5"/>
    <col min="3574" max="3574" width="0.7109375" style="5" customWidth="1"/>
    <col min="3575" max="3575" width="11" style="5" customWidth="1"/>
    <col min="3576" max="3576" width="8.85546875" style="5"/>
    <col min="3577" max="3577" width="0.7109375" style="5" customWidth="1"/>
    <col min="3578" max="3578" width="16.42578125" style="5" customWidth="1"/>
    <col min="3579" max="3579" width="8.85546875" style="5"/>
    <col min="3580" max="3580" width="0.7109375" style="5" customWidth="1"/>
    <col min="3581" max="3581" width="11" style="5" customWidth="1"/>
    <col min="3582" max="3582" width="8.85546875" style="5"/>
    <col min="3583" max="3583" width="0.7109375" style="5" customWidth="1"/>
    <col min="3584" max="3584" width="11" style="5" customWidth="1"/>
    <col min="3585" max="3585" width="8.85546875" style="5"/>
    <col min="3586" max="3586" width="0.7109375" style="5" customWidth="1"/>
    <col min="3587" max="3587" width="11" style="5" customWidth="1"/>
    <col min="3588" max="3588" width="8.85546875" style="5"/>
    <col min="3589" max="3589" width="0.7109375" style="5" customWidth="1"/>
    <col min="3590" max="3590" width="11" style="5" customWidth="1"/>
    <col min="3591" max="3591" width="8.85546875" style="5"/>
    <col min="3592" max="3592" width="0.7109375" style="5" customWidth="1"/>
    <col min="3593" max="3593" width="11" style="5" customWidth="1"/>
    <col min="3594" max="3823" width="8.85546875" style="5"/>
    <col min="3824" max="3824" width="21.140625" style="5" customWidth="1"/>
    <col min="3825" max="3825" width="11" style="5" customWidth="1"/>
    <col min="3826" max="3826" width="9" style="5" customWidth="1"/>
    <col min="3827" max="3827" width="0.7109375" style="5" customWidth="1"/>
    <col min="3828" max="3828" width="11" style="5" customWidth="1"/>
    <col min="3829" max="3829" width="8.85546875" style="5"/>
    <col min="3830" max="3830" width="0.7109375" style="5" customWidth="1"/>
    <col min="3831" max="3831" width="11" style="5" customWidth="1"/>
    <col min="3832" max="3832" width="8.85546875" style="5"/>
    <col min="3833" max="3833" width="0.7109375" style="5" customWidth="1"/>
    <col min="3834" max="3834" width="16.42578125" style="5" customWidth="1"/>
    <col min="3835" max="3835" width="8.85546875" style="5"/>
    <col min="3836" max="3836" width="0.7109375" style="5" customWidth="1"/>
    <col min="3837" max="3837" width="11" style="5" customWidth="1"/>
    <col min="3838" max="3838" width="8.85546875" style="5"/>
    <col min="3839" max="3839" width="0.7109375" style="5" customWidth="1"/>
    <col min="3840" max="3840" width="11" style="5" customWidth="1"/>
    <col min="3841" max="3841" width="8.85546875" style="5"/>
    <col min="3842" max="3842" width="0.7109375" style="5" customWidth="1"/>
    <col min="3843" max="3843" width="11" style="5" customWidth="1"/>
    <col min="3844" max="3844" width="8.85546875" style="5"/>
    <col min="3845" max="3845" width="0.7109375" style="5" customWidth="1"/>
    <col min="3846" max="3846" width="11" style="5" customWidth="1"/>
    <col min="3847" max="3847" width="8.85546875" style="5"/>
    <col min="3848" max="3848" width="0.7109375" style="5" customWidth="1"/>
    <col min="3849" max="3849" width="11" style="5" customWidth="1"/>
    <col min="3850" max="4079" width="8.85546875" style="5"/>
    <col min="4080" max="4080" width="21.140625" style="5" customWidth="1"/>
    <col min="4081" max="4081" width="11" style="5" customWidth="1"/>
    <col min="4082" max="4082" width="9" style="5" customWidth="1"/>
    <col min="4083" max="4083" width="0.7109375" style="5" customWidth="1"/>
    <col min="4084" max="4084" width="11" style="5" customWidth="1"/>
    <col min="4085" max="4085" width="8.85546875" style="5"/>
    <col min="4086" max="4086" width="0.7109375" style="5" customWidth="1"/>
    <col min="4087" max="4087" width="11" style="5" customWidth="1"/>
    <col min="4088" max="4088" width="8.85546875" style="5"/>
    <col min="4089" max="4089" width="0.7109375" style="5" customWidth="1"/>
    <col min="4090" max="4090" width="16.42578125" style="5" customWidth="1"/>
    <col min="4091" max="4091" width="8.85546875" style="5"/>
    <col min="4092" max="4092" width="0.7109375" style="5" customWidth="1"/>
    <col min="4093" max="4093" width="11" style="5" customWidth="1"/>
    <col min="4094" max="4094" width="8.85546875" style="5"/>
    <col min="4095" max="4095" width="0.7109375" style="5" customWidth="1"/>
    <col min="4096" max="4096" width="11" style="5" customWidth="1"/>
    <col min="4097" max="4097" width="8.85546875" style="5"/>
    <col min="4098" max="4098" width="0.7109375" style="5" customWidth="1"/>
    <col min="4099" max="4099" width="11" style="5" customWidth="1"/>
    <col min="4100" max="4100" width="8.85546875" style="5"/>
    <col min="4101" max="4101" width="0.7109375" style="5" customWidth="1"/>
    <col min="4102" max="4102" width="11" style="5" customWidth="1"/>
    <col min="4103" max="4103" width="8.85546875" style="5"/>
    <col min="4104" max="4104" width="0.7109375" style="5" customWidth="1"/>
    <col min="4105" max="4105" width="11" style="5" customWidth="1"/>
    <col min="4106" max="4335" width="8.85546875" style="5"/>
    <col min="4336" max="4336" width="21.140625" style="5" customWidth="1"/>
    <col min="4337" max="4337" width="11" style="5" customWidth="1"/>
    <col min="4338" max="4338" width="9" style="5" customWidth="1"/>
    <col min="4339" max="4339" width="0.7109375" style="5" customWidth="1"/>
    <col min="4340" max="4340" width="11" style="5" customWidth="1"/>
    <col min="4341" max="4341" width="8.85546875" style="5"/>
    <col min="4342" max="4342" width="0.7109375" style="5" customWidth="1"/>
    <col min="4343" max="4343" width="11" style="5" customWidth="1"/>
    <col min="4344" max="4344" width="8.85546875" style="5"/>
    <col min="4345" max="4345" width="0.7109375" style="5" customWidth="1"/>
    <col min="4346" max="4346" width="16.42578125" style="5" customWidth="1"/>
    <col min="4347" max="4347" width="8.85546875" style="5"/>
    <col min="4348" max="4348" width="0.7109375" style="5" customWidth="1"/>
    <col min="4349" max="4349" width="11" style="5" customWidth="1"/>
    <col min="4350" max="4350" width="8.85546875" style="5"/>
    <col min="4351" max="4351" width="0.7109375" style="5" customWidth="1"/>
    <col min="4352" max="4352" width="11" style="5" customWidth="1"/>
    <col min="4353" max="4353" width="8.85546875" style="5"/>
    <col min="4354" max="4354" width="0.7109375" style="5" customWidth="1"/>
    <col min="4355" max="4355" width="11" style="5" customWidth="1"/>
    <col min="4356" max="4356" width="8.85546875" style="5"/>
    <col min="4357" max="4357" width="0.7109375" style="5" customWidth="1"/>
    <col min="4358" max="4358" width="11" style="5" customWidth="1"/>
    <col min="4359" max="4359" width="8.85546875" style="5"/>
    <col min="4360" max="4360" width="0.7109375" style="5" customWidth="1"/>
    <col min="4361" max="4361" width="11" style="5" customWidth="1"/>
    <col min="4362" max="4591" width="8.85546875" style="5"/>
    <col min="4592" max="4592" width="21.140625" style="5" customWidth="1"/>
    <col min="4593" max="4593" width="11" style="5" customWidth="1"/>
    <col min="4594" max="4594" width="9" style="5" customWidth="1"/>
    <col min="4595" max="4595" width="0.7109375" style="5" customWidth="1"/>
    <col min="4596" max="4596" width="11" style="5" customWidth="1"/>
    <col min="4597" max="4597" width="8.85546875" style="5"/>
    <col min="4598" max="4598" width="0.7109375" style="5" customWidth="1"/>
    <col min="4599" max="4599" width="11" style="5" customWidth="1"/>
    <col min="4600" max="4600" width="8.85546875" style="5"/>
    <col min="4601" max="4601" width="0.7109375" style="5" customWidth="1"/>
    <col min="4602" max="4602" width="16.42578125" style="5" customWidth="1"/>
    <col min="4603" max="4603" width="8.85546875" style="5"/>
    <col min="4604" max="4604" width="0.7109375" style="5" customWidth="1"/>
    <col min="4605" max="4605" width="11" style="5" customWidth="1"/>
    <col min="4606" max="4606" width="8.85546875" style="5"/>
    <col min="4607" max="4607" width="0.7109375" style="5" customWidth="1"/>
    <col min="4608" max="4608" width="11" style="5" customWidth="1"/>
    <col min="4609" max="4609" width="8.85546875" style="5"/>
    <col min="4610" max="4610" width="0.7109375" style="5" customWidth="1"/>
    <col min="4611" max="4611" width="11" style="5" customWidth="1"/>
    <col min="4612" max="4612" width="8.85546875" style="5"/>
    <col min="4613" max="4613" width="0.7109375" style="5" customWidth="1"/>
    <col min="4614" max="4614" width="11" style="5" customWidth="1"/>
    <col min="4615" max="4615" width="8.85546875" style="5"/>
    <col min="4616" max="4616" width="0.7109375" style="5" customWidth="1"/>
    <col min="4617" max="4617" width="11" style="5" customWidth="1"/>
    <col min="4618" max="4847" width="8.85546875" style="5"/>
    <col min="4848" max="4848" width="21.140625" style="5" customWidth="1"/>
    <col min="4849" max="4849" width="11" style="5" customWidth="1"/>
    <col min="4850" max="4850" width="9" style="5" customWidth="1"/>
    <col min="4851" max="4851" width="0.7109375" style="5" customWidth="1"/>
    <col min="4852" max="4852" width="11" style="5" customWidth="1"/>
    <col min="4853" max="4853" width="8.85546875" style="5"/>
    <col min="4854" max="4854" width="0.7109375" style="5" customWidth="1"/>
    <col min="4855" max="4855" width="11" style="5" customWidth="1"/>
    <col min="4856" max="4856" width="8.85546875" style="5"/>
    <col min="4857" max="4857" width="0.7109375" style="5" customWidth="1"/>
    <col min="4858" max="4858" width="16.42578125" style="5" customWidth="1"/>
    <col min="4859" max="4859" width="8.85546875" style="5"/>
    <col min="4860" max="4860" width="0.7109375" style="5" customWidth="1"/>
    <col min="4861" max="4861" width="11" style="5" customWidth="1"/>
    <col min="4862" max="4862" width="8.85546875" style="5"/>
    <col min="4863" max="4863" width="0.7109375" style="5" customWidth="1"/>
    <col min="4864" max="4864" width="11" style="5" customWidth="1"/>
    <col min="4865" max="4865" width="8.85546875" style="5"/>
    <col min="4866" max="4866" width="0.7109375" style="5" customWidth="1"/>
    <col min="4867" max="4867" width="11" style="5" customWidth="1"/>
    <col min="4868" max="4868" width="8.85546875" style="5"/>
    <col min="4869" max="4869" width="0.7109375" style="5" customWidth="1"/>
    <col min="4870" max="4870" width="11" style="5" customWidth="1"/>
    <col min="4871" max="4871" width="8.85546875" style="5"/>
    <col min="4872" max="4872" width="0.7109375" style="5" customWidth="1"/>
    <col min="4873" max="4873" width="11" style="5" customWidth="1"/>
    <col min="4874" max="5103" width="8.85546875" style="5"/>
    <col min="5104" max="5104" width="21.140625" style="5" customWidth="1"/>
    <col min="5105" max="5105" width="11" style="5" customWidth="1"/>
    <col min="5106" max="5106" width="9" style="5" customWidth="1"/>
    <col min="5107" max="5107" width="0.7109375" style="5" customWidth="1"/>
    <col min="5108" max="5108" width="11" style="5" customWidth="1"/>
    <col min="5109" max="5109" width="8.85546875" style="5"/>
    <col min="5110" max="5110" width="0.7109375" style="5" customWidth="1"/>
    <col min="5111" max="5111" width="11" style="5" customWidth="1"/>
    <col min="5112" max="5112" width="8.85546875" style="5"/>
    <col min="5113" max="5113" width="0.7109375" style="5" customWidth="1"/>
    <col min="5114" max="5114" width="16.42578125" style="5" customWidth="1"/>
    <col min="5115" max="5115" width="8.85546875" style="5"/>
    <col min="5116" max="5116" width="0.7109375" style="5" customWidth="1"/>
    <col min="5117" max="5117" width="11" style="5" customWidth="1"/>
    <col min="5118" max="5118" width="8.85546875" style="5"/>
    <col min="5119" max="5119" width="0.7109375" style="5" customWidth="1"/>
    <col min="5120" max="5120" width="11" style="5" customWidth="1"/>
    <col min="5121" max="5121" width="8.85546875" style="5"/>
    <col min="5122" max="5122" width="0.7109375" style="5" customWidth="1"/>
    <col min="5123" max="5123" width="11" style="5" customWidth="1"/>
    <col min="5124" max="5124" width="8.85546875" style="5"/>
    <col min="5125" max="5125" width="0.7109375" style="5" customWidth="1"/>
    <col min="5126" max="5126" width="11" style="5" customWidth="1"/>
    <col min="5127" max="5127" width="8.85546875" style="5"/>
    <col min="5128" max="5128" width="0.7109375" style="5" customWidth="1"/>
    <col min="5129" max="5129" width="11" style="5" customWidth="1"/>
    <col min="5130" max="5359" width="8.85546875" style="5"/>
    <col min="5360" max="5360" width="21.140625" style="5" customWidth="1"/>
    <col min="5361" max="5361" width="11" style="5" customWidth="1"/>
    <col min="5362" max="5362" width="9" style="5" customWidth="1"/>
    <col min="5363" max="5363" width="0.7109375" style="5" customWidth="1"/>
    <col min="5364" max="5364" width="11" style="5" customWidth="1"/>
    <col min="5365" max="5365" width="8.85546875" style="5"/>
    <col min="5366" max="5366" width="0.7109375" style="5" customWidth="1"/>
    <col min="5367" max="5367" width="11" style="5" customWidth="1"/>
    <col min="5368" max="5368" width="8.85546875" style="5"/>
    <col min="5369" max="5369" width="0.7109375" style="5" customWidth="1"/>
    <col min="5370" max="5370" width="16.42578125" style="5" customWidth="1"/>
    <col min="5371" max="5371" width="8.85546875" style="5"/>
    <col min="5372" max="5372" width="0.7109375" style="5" customWidth="1"/>
    <col min="5373" max="5373" width="11" style="5" customWidth="1"/>
    <col min="5374" max="5374" width="8.85546875" style="5"/>
    <col min="5375" max="5375" width="0.7109375" style="5" customWidth="1"/>
    <col min="5376" max="5376" width="11" style="5" customWidth="1"/>
    <col min="5377" max="5377" width="8.85546875" style="5"/>
    <col min="5378" max="5378" width="0.7109375" style="5" customWidth="1"/>
    <col min="5379" max="5379" width="11" style="5" customWidth="1"/>
    <col min="5380" max="5380" width="8.85546875" style="5"/>
    <col min="5381" max="5381" width="0.7109375" style="5" customWidth="1"/>
    <col min="5382" max="5382" width="11" style="5" customWidth="1"/>
    <col min="5383" max="5383" width="8.85546875" style="5"/>
    <col min="5384" max="5384" width="0.7109375" style="5" customWidth="1"/>
    <col min="5385" max="5385" width="11" style="5" customWidth="1"/>
    <col min="5386" max="5615" width="8.85546875" style="5"/>
    <col min="5616" max="5616" width="21.140625" style="5" customWidth="1"/>
    <col min="5617" max="5617" width="11" style="5" customWidth="1"/>
    <col min="5618" max="5618" width="9" style="5" customWidth="1"/>
    <col min="5619" max="5619" width="0.7109375" style="5" customWidth="1"/>
    <col min="5620" max="5620" width="11" style="5" customWidth="1"/>
    <col min="5621" max="5621" width="8.85546875" style="5"/>
    <col min="5622" max="5622" width="0.7109375" style="5" customWidth="1"/>
    <col min="5623" max="5623" width="11" style="5" customWidth="1"/>
    <col min="5624" max="5624" width="8.85546875" style="5"/>
    <col min="5625" max="5625" width="0.7109375" style="5" customWidth="1"/>
    <col min="5626" max="5626" width="16.42578125" style="5" customWidth="1"/>
    <col min="5627" max="5627" width="8.85546875" style="5"/>
    <col min="5628" max="5628" width="0.7109375" style="5" customWidth="1"/>
    <col min="5629" max="5629" width="11" style="5" customWidth="1"/>
    <col min="5630" max="5630" width="8.85546875" style="5"/>
    <col min="5631" max="5631" width="0.7109375" style="5" customWidth="1"/>
    <col min="5632" max="5632" width="11" style="5" customWidth="1"/>
    <col min="5633" max="5633" width="8.85546875" style="5"/>
    <col min="5634" max="5634" width="0.7109375" style="5" customWidth="1"/>
    <col min="5635" max="5635" width="11" style="5" customWidth="1"/>
    <col min="5636" max="5636" width="8.85546875" style="5"/>
    <col min="5637" max="5637" width="0.7109375" style="5" customWidth="1"/>
    <col min="5638" max="5638" width="11" style="5" customWidth="1"/>
    <col min="5639" max="5639" width="8.85546875" style="5"/>
    <col min="5640" max="5640" width="0.7109375" style="5" customWidth="1"/>
    <col min="5641" max="5641" width="11" style="5" customWidth="1"/>
    <col min="5642" max="5871" width="8.85546875" style="5"/>
    <col min="5872" max="5872" width="21.140625" style="5" customWidth="1"/>
    <col min="5873" max="5873" width="11" style="5" customWidth="1"/>
    <col min="5874" max="5874" width="9" style="5" customWidth="1"/>
    <col min="5875" max="5875" width="0.7109375" style="5" customWidth="1"/>
    <col min="5876" max="5876" width="11" style="5" customWidth="1"/>
    <col min="5877" max="5877" width="8.85546875" style="5"/>
    <col min="5878" max="5878" width="0.7109375" style="5" customWidth="1"/>
    <col min="5879" max="5879" width="11" style="5" customWidth="1"/>
    <col min="5880" max="5880" width="8.85546875" style="5"/>
    <col min="5881" max="5881" width="0.7109375" style="5" customWidth="1"/>
    <col min="5882" max="5882" width="16.42578125" style="5" customWidth="1"/>
    <col min="5883" max="5883" width="8.85546875" style="5"/>
    <col min="5884" max="5884" width="0.7109375" style="5" customWidth="1"/>
    <col min="5885" max="5885" width="11" style="5" customWidth="1"/>
    <col min="5886" max="5886" width="8.85546875" style="5"/>
    <col min="5887" max="5887" width="0.7109375" style="5" customWidth="1"/>
    <col min="5888" max="5888" width="11" style="5" customWidth="1"/>
    <col min="5889" max="5889" width="8.85546875" style="5"/>
    <col min="5890" max="5890" width="0.7109375" style="5" customWidth="1"/>
    <col min="5891" max="5891" width="11" style="5" customWidth="1"/>
    <col min="5892" max="5892" width="8.85546875" style="5"/>
    <col min="5893" max="5893" width="0.7109375" style="5" customWidth="1"/>
    <col min="5894" max="5894" width="11" style="5" customWidth="1"/>
    <col min="5895" max="5895" width="8.85546875" style="5"/>
    <col min="5896" max="5896" width="0.7109375" style="5" customWidth="1"/>
    <col min="5897" max="5897" width="11" style="5" customWidth="1"/>
    <col min="5898" max="6127" width="8.85546875" style="5"/>
    <col min="6128" max="6128" width="21.140625" style="5" customWidth="1"/>
    <col min="6129" max="6129" width="11" style="5" customWidth="1"/>
    <col min="6130" max="6130" width="9" style="5" customWidth="1"/>
    <col min="6131" max="6131" width="0.7109375" style="5" customWidth="1"/>
    <col min="6132" max="6132" width="11" style="5" customWidth="1"/>
    <col min="6133" max="6133" width="8.85546875" style="5"/>
    <col min="6134" max="6134" width="0.7109375" style="5" customWidth="1"/>
    <col min="6135" max="6135" width="11" style="5" customWidth="1"/>
    <col min="6136" max="6136" width="8.85546875" style="5"/>
    <col min="6137" max="6137" width="0.7109375" style="5" customWidth="1"/>
    <col min="6138" max="6138" width="16.42578125" style="5" customWidth="1"/>
    <col min="6139" max="6139" width="8.85546875" style="5"/>
    <col min="6140" max="6140" width="0.7109375" style="5" customWidth="1"/>
    <col min="6141" max="6141" width="11" style="5" customWidth="1"/>
    <col min="6142" max="6142" width="8.85546875" style="5"/>
    <col min="6143" max="6143" width="0.7109375" style="5" customWidth="1"/>
    <col min="6144" max="6144" width="11" style="5" customWidth="1"/>
    <col min="6145" max="6145" width="8.85546875" style="5"/>
    <col min="6146" max="6146" width="0.7109375" style="5" customWidth="1"/>
    <col min="6147" max="6147" width="11" style="5" customWidth="1"/>
    <col min="6148" max="6148" width="8.85546875" style="5"/>
    <col min="6149" max="6149" width="0.7109375" style="5" customWidth="1"/>
    <col min="6150" max="6150" width="11" style="5" customWidth="1"/>
    <col min="6151" max="6151" width="8.85546875" style="5"/>
    <col min="6152" max="6152" width="0.7109375" style="5" customWidth="1"/>
    <col min="6153" max="6153" width="11" style="5" customWidth="1"/>
    <col min="6154" max="6383" width="8.85546875" style="5"/>
    <col min="6384" max="6384" width="21.140625" style="5" customWidth="1"/>
    <col min="6385" max="6385" width="11" style="5" customWidth="1"/>
    <col min="6386" max="6386" width="9" style="5" customWidth="1"/>
    <col min="6387" max="6387" width="0.7109375" style="5" customWidth="1"/>
    <col min="6388" max="6388" width="11" style="5" customWidth="1"/>
    <col min="6389" max="6389" width="8.85546875" style="5"/>
    <col min="6390" max="6390" width="0.7109375" style="5" customWidth="1"/>
    <col min="6391" max="6391" width="11" style="5" customWidth="1"/>
    <col min="6392" max="6392" width="8.85546875" style="5"/>
    <col min="6393" max="6393" width="0.7109375" style="5" customWidth="1"/>
    <col min="6394" max="6394" width="16.42578125" style="5" customWidth="1"/>
    <col min="6395" max="6395" width="8.85546875" style="5"/>
    <col min="6396" max="6396" width="0.7109375" style="5" customWidth="1"/>
    <col min="6397" max="6397" width="11" style="5" customWidth="1"/>
    <col min="6398" max="6398" width="8.85546875" style="5"/>
    <col min="6399" max="6399" width="0.7109375" style="5" customWidth="1"/>
    <col min="6400" max="6400" width="11" style="5" customWidth="1"/>
    <col min="6401" max="6401" width="8.85546875" style="5"/>
    <col min="6402" max="6402" width="0.7109375" style="5" customWidth="1"/>
    <col min="6403" max="6403" width="11" style="5" customWidth="1"/>
    <col min="6404" max="6404" width="8.85546875" style="5"/>
    <col min="6405" max="6405" width="0.7109375" style="5" customWidth="1"/>
    <col min="6406" max="6406" width="11" style="5" customWidth="1"/>
    <col min="6407" max="6407" width="8.85546875" style="5"/>
    <col min="6408" max="6408" width="0.7109375" style="5" customWidth="1"/>
    <col min="6409" max="6409" width="11" style="5" customWidth="1"/>
    <col min="6410" max="6639" width="8.85546875" style="5"/>
    <col min="6640" max="6640" width="21.140625" style="5" customWidth="1"/>
    <col min="6641" max="6641" width="11" style="5" customWidth="1"/>
    <col min="6642" max="6642" width="9" style="5" customWidth="1"/>
    <col min="6643" max="6643" width="0.7109375" style="5" customWidth="1"/>
    <col min="6644" max="6644" width="11" style="5" customWidth="1"/>
    <col min="6645" max="6645" width="8.85546875" style="5"/>
    <col min="6646" max="6646" width="0.7109375" style="5" customWidth="1"/>
    <col min="6647" max="6647" width="11" style="5" customWidth="1"/>
    <col min="6648" max="6648" width="8.85546875" style="5"/>
    <col min="6649" max="6649" width="0.7109375" style="5" customWidth="1"/>
    <col min="6650" max="6650" width="16.42578125" style="5" customWidth="1"/>
    <col min="6651" max="6651" width="8.85546875" style="5"/>
    <col min="6652" max="6652" width="0.7109375" style="5" customWidth="1"/>
    <col min="6653" max="6653" width="11" style="5" customWidth="1"/>
    <col min="6654" max="6654" width="8.85546875" style="5"/>
    <col min="6655" max="6655" width="0.7109375" style="5" customWidth="1"/>
    <col min="6656" max="6656" width="11" style="5" customWidth="1"/>
    <col min="6657" max="6657" width="8.85546875" style="5"/>
    <col min="6658" max="6658" width="0.7109375" style="5" customWidth="1"/>
    <col min="6659" max="6659" width="11" style="5" customWidth="1"/>
    <col min="6660" max="6660" width="8.85546875" style="5"/>
    <col min="6661" max="6661" width="0.7109375" style="5" customWidth="1"/>
    <col min="6662" max="6662" width="11" style="5" customWidth="1"/>
    <col min="6663" max="6663" width="8.85546875" style="5"/>
    <col min="6664" max="6664" width="0.7109375" style="5" customWidth="1"/>
    <col min="6665" max="6665" width="11" style="5" customWidth="1"/>
    <col min="6666" max="6895" width="8.85546875" style="5"/>
    <col min="6896" max="6896" width="21.140625" style="5" customWidth="1"/>
    <col min="6897" max="6897" width="11" style="5" customWidth="1"/>
    <col min="6898" max="6898" width="9" style="5" customWidth="1"/>
    <col min="6899" max="6899" width="0.7109375" style="5" customWidth="1"/>
    <col min="6900" max="6900" width="11" style="5" customWidth="1"/>
    <col min="6901" max="6901" width="8.85546875" style="5"/>
    <col min="6902" max="6902" width="0.7109375" style="5" customWidth="1"/>
    <col min="6903" max="6903" width="11" style="5" customWidth="1"/>
    <col min="6904" max="6904" width="8.85546875" style="5"/>
    <col min="6905" max="6905" width="0.7109375" style="5" customWidth="1"/>
    <col min="6906" max="6906" width="16.42578125" style="5" customWidth="1"/>
    <col min="6907" max="6907" width="8.85546875" style="5"/>
    <col min="6908" max="6908" width="0.7109375" style="5" customWidth="1"/>
    <col min="6909" max="6909" width="11" style="5" customWidth="1"/>
    <col min="6910" max="6910" width="8.85546875" style="5"/>
    <col min="6911" max="6911" width="0.7109375" style="5" customWidth="1"/>
    <col min="6912" max="6912" width="11" style="5" customWidth="1"/>
    <col min="6913" max="6913" width="8.85546875" style="5"/>
    <col min="6914" max="6914" width="0.7109375" style="5" customWidth="1"/>
    <col min="6915" max="6915" width="11" style="5" customWidth="1"/>
    <col min="6916" max="6916" width="8.85546875" style="5"/>
    <col min="6917" max="6917" width="0.7109375" style="5" customWidth="1"/>
    <col min="6918" max="6918" width="11" style="5" customWidth="1"/>
    <col min="6919" max="6919" width="8.85546875" style="5"/>
    <col min="6920" max="6920" width="0.7109375" style="5" customWidth="1"/>
    <col min="6921" max="6921" width="11" style="5" customWidth="1"/>
    <col min="6922" max="7151" width="8.85546875" style="5"/>
    <col min="7152" max="7152" width="21.140625" style="5" customWidth="1"/>
    <col min="7153" max="7153" width="11" style="5" customWidth="1"/>
    <col min="7154" max="7154" width="9" style="5" customWidth="1"/>
    <col min="7155" max="7155" width="0.7109375" style="5" customWidth="1"/>
    <col min="7156" max="7156" width="11" style="5" customWidth="1"/>
    <col min="7157" max="7157" width="8.85546875" style="5"/>
    <col min="7158" max="7158" width="0.7109375" style="5" customWidth="1"/>
    <col min="7159" max="7159" width="11" style="5" customWidth="1"/>
    <col min="7160" max="7160" width="8.85546875" style="5"/>
    <col min="7161" max="7161" width="0.7109375" style="5" customWidth="1"/>
    <col min="7162" max="7162" width="16.42578125" style="5" customWidth="1"/>
    <col min="7163" max="7163" width="8.85546875" style="5"/>
    <col min="7164" max="7164" width="0.7109375" style="5" customWidth="1"/>
    <col min="7165" max="7165" width="11" style="5" customWidth="1"/>
    <col min="7166" max="7166" width="8.85546875" style="5"/>
    <col min="7167" max="7167" width="0.7109375" style="5" customWidth="1"/>
    <col min="7168" max="7168" width="11" style="5" customWidth="1"/>
    <col min="7169" max="7169" width="8.85546875" style="5"/>
    <col min="7170" max="7170" width="0.7109375" style="5" customWidth="1"/>
    <col min="7171" max="7171" width="11" style="5" customWidth="1"/>
    <col min="7172" max="7172" width="8.85546875" style="5"/>
    <col min="7173" max="7173" width="0.7109375" style="5" customWidth="1"/>
    <col min="7174" max="7174" width="11" style="5" customWidth="1"/>
    <col min="7175" max="7175" width="8.85546875" style="5"/>
    <col min="7176" max="7176" width="0.7109375" style="5" customWidth="1"/>
    <col min="7177" max="7177" width="11" style="5" customWidth="1"/>
    <col min="7178" max="7407" width="8.85546875" style="5"/>
    <col min="7408" max="7408" width="21.140625" style="5" customWidth="1"/>
    <col min="7409" max="7409" width="11" style="5" customWidth="1"/>
    <col min="7410" max="7410" width="9" style="5" customWidth="1"/>
    <col min="7411" max="7411" width="0.7109375" style="5" customWidth="1"/>
    <col min="7412" max="7412" width="11" style="5" customWidth="1"/>
    <col min="7413" max="7413" width="8.85546875" style="5"/>
    <col min="7414" max="7414" width="0.7109375" style="5" customWidth="1"/>
    <col min="7415" max="7415" width="11" style="5" customWidth="1"/>
    <col min="7416" max="7416" width="8.85546875" style="5"/>
    <col min="7417" max="7417" width="0.7109375" style="5" customWidth="1"/>
    <col min="7418" max="7418" width="16.42578125" style="5" customWidth="1"/>
    <col min="7419" max="7419" width="8.85546875" style="5"/>
    <col min="7420" max="7420" width="0.7109375" style="5" customWidth="1"/>
    <col min="7421" max="7421" width="11" style="5" customWidth="1"/>
    <col min="7422" max="7422" width="8.85546875" style="5"/>
    <col min="7423" max="7423" width="0.7109375" style="5" customWidth="1"/>
    <col min="7424" max="7424" width="11" style="5" customWidth="1"/>
    <col min="7425" max="7425" width="8.85546875" style="5"/>
    <col min="7426" max="7426" width="0.7109375" style="5" customWidth="1"/>
    <col min="7427" max="7427" width="11" style="5" customWidth="1"/>
    <col min="7428" max="7428" width="8.85546875" style="5"/>
    <col min="7429" max="7429" width="0.7109375" style="5" customWidth="1"/>
    <col min="7430" max="7430" width="11" style="5" customWidth="1"/>
    <col min="7431" max="7431" width="8.85546875" style="5"/>
    <col min="7432" max="7432" width="0.7109375" style="5" customWidth="1"/>
    <col min="7433" max="7433" width="11" style="5" customWidth="1"/>
    <col min="7434" max="7663" width="8.85546875" style="5"/>
    <col min="7664" max="7664" width="21.140625" style="5" customWidth="1"/>
    <col min="7665" max="7665" width="11" style="5" customWidth="1"/>
    <col min="7666" max="7666" width="9" style="5" customWidth="1"/>
    <col min="7667" max="7667" width="0.7109375" style="5" customWidth="1"/>
    <col min="7668" max="7668" width="11" style="5" customWidth="1"/>
    <col min="7669" max="7669" width="8.85546875" style="5"/>
    <col min="7670" max="7670" width="0.7109375" style="5" customWidth="1"/>
    <col min="7671" max="7671" width="11" style="5" customWidth="1"/>
    <col min="7672" max="7672" width="8.85546875" style="5"/>
    <col min="7673" max="7673" width="0.7109375" style="5" customWidth="1"/>
    <col min="7674" max="7674" width="16.42578125" style="5" customWidth="1"/>
    <col min="7675" max="7675" width="8.85546875" style="5"/>
    <col min="7676" max="7676" width="0.7109375" style="5" customWidth="1"/>
    <col min="7677" max="7677" width="11" style="5" customWidth="1"/>
    <col min="7678" max="7678" width="8.85546875" style="5"/>
    <col min="7679" max="7679" width="0.7109375" style="5" customWidth="1"/>
    <col min="7680" max="7680" width="11" style="5" customWidth="1"/>
    <col min="7681" max="7681" width="8.85546875" style="5"/>
    <col min="7682" max="7682" width="0.7109375" style="5" customWidth="1"/>
    <col min="7683" max="7683" width="11" style="5" customWidth="1"/>
    <col min="7684" max="7684" width="8.85546875" style="5"/>
    <col min="7685" max="7685" width="0.7109375" style="5" customWidth="1"/>
    <col min="7686" max="7686" width="11" style="5" customWidth="1"/>
    <col min="7687" max="7687" width="8.85546875" style="5"/>
    <col min="7688" max="7688" width="0.7109375" style="5" customWidth="1"/>
    <col min="7689" max="7689" width="11" style="5" customWidth="1"/>
    <col min="7690" max="7919" width="8.85546875" style="5"/>
    <col min="7920" max="7920" width="21.140625" style="5" customWidth="1"/>
    <col min="7921" max="7921" width="11" style="5" customWidth="1"/>
    <col min="7922" max="7922" width="9" style="5" customWidth="1"/>
    <col min="7923" max="7923" width="0.7109375" style="5" customWidth="1"/>
    <col min="7924" max="7924" width="11" style="5" customWidth="1"/>
    <col min="7925" max="7925" width="8.85546875" style="5"/>
    <col min="7926" max="7926" width="0.7109375" style="5" customWidth="1"/>
    <col min="7927" max="7927" width="11" style="5" customWidth="1"/>
    <col min="7928" max="7928" width="8.85546875" style="5"/>
    <col min="7929" max="7929" width="0.7109375" style="5" customWidth="1"/>
    <col min="7930" max="7930" width="16.42578125" style="5" customWidth="1"/>
    <col min="7931" max="7931" width="8.85546875" style="5"/>
    <col min="7932" max="7932" width="0.7109375" style="5" customWidth="1"/>
    <col min="7933" max="7933" width="11" style="5" customWidth="1"/>
    <col min="7934" max="7934" width="8.85546875" style="5"/>
    <col min="7935" max="7935" width="0.7109375" style="5" customWidth="1"/>
    <col min="7936" max="7936" width="11" style="5" customWidth="1"/>
    <col min="7937" max="7937" width="8.85546875" style="5"/>
    <col min="7938" max="7938" width="0.7109375" style="5" customWidth="1"/>
    <col min="7939" max="7939" width="11" style="5" customWidth="1"/>
    <col min="7940" max="7940" width="8.85546875" style="5"/>
    <col min="7941" max="7941" width="0.7109375" style="5" customWidth="1"/>
    <col min="7942" max="7942" width="11" style="5" customWidth="1"/>
    <col min="7943" max="7943" width="8.85546875" style="5"/>
    <col min="7944" max="7944" width="0.7109375" style="5" customWidth="1"/>
    <col min="7945" max="7945" width="11" style="5" customWidth="1"/>
    <col min="7946" max="8175" width="8.85546875" style="5"/>
    <col min="8176" max="8176" width="21.140625" style="5" customWidth="1"/>
    <col min="8177" max="8177" width="11" style="5" customWidth="1"/>
    <col min="8178" max="8178" width="9" style="5" customWidth="1"/>
    <col min="8179" max="8179" width="0.7109375" style="5" customWidth="1"/>
    <col min="8180" max="8180" width="11" style="5" customWidth="1"/>
    <col min="8181" max="8181" width="8.85546875" style="5"/>
    <col min="8182" max="8182" width="0.7109375" style="5" customWidth="1"/>
    <col min="8183" max="8183" width="11" style="5" customWidth="1"/>
    <col min="8184" max="8184" width="8.85546875" style="5"/>
    <col min="8185" max="8185" width="0.7109375" style="5" customWidth="1"/>
    <col min="8186" max="8186" width="16.42578125" style="5" customWidth="1"/>
    <col min="8187" max="8187" width="8.85546875" style="5"/>
    <col min="8188" max="8188" width="0.7109375" style="5" customWidth="1"/>
    <col min="8189" max="8189" width="11" style="5" customWidth="1"/>
    <col min="8190" max="8190" width="8.85546875" style="5"/>
    <col min="8191" max="8191" width="0.7109375" style="5" customWidth="1"/>
    <col min="8192" max="8192" width="11" style="5" customWidth="1"/>
    <col min="8193" max="8193" width="8.85546875" style="5"/>
    <col min="8194" max="8194" width="0.7109375" style="5" customWidth="1"/>
    <col min="8195" max="8195" width="11" style="5" customWidth="1"/>
    <col min="8196" max="8196" width="8.85546875" style="5"/>
    <col min="8197" max="8197" width="0.7109375" style="5" customWidth="1"/>
    <col min="8198" max="8198" width="11" style="5" customWidth="1"/>
    <col min="8199" max="8199" width="8.85546875" style="5"/>
    <col min="8200" max="8200" width="0.7109375" style="5" customWidth="1"/>
    <col min="8201" max="8201" width="11" style="5" customWidth="1"/>
    <col min="8202" max="8431" width="8.85546875" style="5"/>
    <col min="8432" max="8432" width="21.140625" style="5" customWidth="1"/>
    <col min="8433" max="8433" width="11" style="5" customWidth="1"/>
    <col min="8434" max="8434" width="9" style="5" customWidth="1"/>
    <col min="8435" max="8435" width="0.7109375" style="5" customWidth="1"/>
    <col min="8436" max="8436" width="11" style="5" customWidth="1"/>
    <col min="8437" max="8437" width="8.85546875" style="5"/>
    <col min="8438" max="8438" width="0.7109375" style="5" customWidth="1"/>
    <col min="8439" max="8439" width="11" style="5" customWidth="1"/>
    <col min="8440" max="8440" width="8.85546875" style="5"/>
    <col min="8441" max="8441" width="0.7109375" style="5" customWidth="1"/>
    <col min="8442" max="8442" width="16.42578125" style="5" customWidth="1"/>
    <col min="8443" max="8443" width="8.85546875" style="5"/>
    <col min="8444" max="8444" width="0.7109375" style="5" customWidth="1"/>
    <col min="8445" max="8445" width="11" style="5" customWidth="1"/>
    <col min="8446" max="8446" width="8.85546875" style="5"/>
    <col min="8447" max="8447" width="0.7109375" style="5" customWidth="1"/>
    <col min="8448" max="8448" width="11" style="5" customWidth="1"/>
    <col min="8449" max="8449" width="8.85546875" style="5"/>
    <col min="8450" max="8450" width="0.7109375" style="5" customWidth="1"/>
    <col min="8451" max="8451" width="11" style="5" customWidth="1"/>
    <col min="8452" max="8452" width="8.85546875" style="5"/>
    <col min="8453" max="8453" width="0.7109375" style="5" customWidth="1"/>
    <col min="8454" max="8454" width="11" style="5" customWidth="1"/>
    <col min="8455" max="8455" width="8.85546875" style="5"/>
    <col min="8456" max="8456" width="0.7109375" style="5" customWidth="1"/>
    <col min="8457" max="8457" width="11" style="5" customWidth="1"/>
    <col min="8458" max="8687" width="8.85546875" style="5"/>
    <col min="8688" max="8688" width="21.140625" style="5" customWidth="1"/>
    <col min="8689" max="8689" width="11" style="5" customWidth="1"/>
    <col min="8690" max="8690" width="9" style="5" customWidth="1"/>
    <col min="8691" max="8691" width="0.7109375" style="5" customWidth="1"/>
    <col min="8692" max="8692" width="11" style="5" customWidth="1"/>
    <col min="8693" max="8693" width="8.85546875" style="5"/>
    <col min="8694" max="8694" width="0.7109375" style="5" customWidth="1"/>
    <col min="8695" max="8695" width="11" style="5" customWidth="1"/>
    <col min="8696" max="8696" width="8.85546875" style="5"/>
    <col min="8697" max="8697" width="0.7109375" style="5" customWidth="1"/>
    <col min="8698" max="8698" width="16.42578125" style="5" customWidth="1"/>
    <col min="8699" max="8699" width="8.85546875" style="5"/>
    <col min="8700" max="8700" width="0.7109375" style="5" customWidth="1"/>
    <col min="8701" max="8701" width="11" style="5" customWidth="1"/>
    <col min="8702" max="8702" width="8.85546875" style="5"/>
    <col min="8703" max="8703" width="0.7109375" style="5" customWidth="1"/>
    <col min="8704" max="8704" width="11" style="5" customWidth="1"/>
    <col min="8705" max="8705" width="8.85546875" style="5"/>
    <col min="8706" max="8706" width="0.7109375" style="5" customWidth="1"/>
    <col min="8707" max="8707" width="11" style="5" customWidth="1"/>
    <col min="8708" max="8708" width="8.85546875" style="5"/>
    <col min="8709" max="8709" width="0.7109375" style="5" customWidth="1"/>
    <col min="8710" max="8710" width="11" style="5" customWidth="1"/>
    <col min="8711" max="8711" width="8.85546875" style="5"/>
    <col min="8712" max="8712" width="0.7109375" style="5" customWidth="1"/>
    <col min="8713" max="8713" width="11" style="5" customWidth="1"/>
    <col min="8714" max="8943" width="8.85546875" style="5"/>
    <col min="8944" max="8944" width="21.140625" style="5" customWidth="1"/>
    <col min="8945" max="8945" width="11" style="5" customWidth="1"/>
    <col min="8946" max="8946" width="9" style="5" customWidth="1"/>
    <col min="8947" max="8947" width="0.7109375" style="5" customWidth="1"/>
    <col min="8948" max="8948" width="11" style="5" customWidth="1"/>
    <col min="8949" max="8949" width="8.85546875" style="5"/>
    <col min="8950" max="8950" width="0.7109375" style="5" customWidth="1"/>
    <col min="8951" max="8951" width="11" style="5" customWidth="1"/>
    <col min="8952" max="8952" width="8.85546875" style="5"/>
    <col min="8953" max="8953" width="0.7109375" style="5" customWidth="1"/>
    <col min="8954" max="8954" width="16.42578125" style="5" customWidth="1"/>
    <col min="8955" max="8955" width="8.85546875" style="5"/>
    <col min="8956" max="8956" width="0.7109375" style="5" customWidth="1"/>
    <col min="8957" max="8957" width="11" style="5" customWidth="1"/>
    <col min="8958" max="8958" width="8.85546875" style="5"/>
    <col min="8959" max="8959" width="0.7109375" style="5" customWidth="1"/>
    <col min="8960" max="8960" width="11" style="5" customWidth="1"/>
    <col min="8961" max="8961" width="8.85546875" style="5"/>
    <col min="8962" max="8962" width="0.7109375" style="5" customWidth="1"/>
    <col min="8963" max="8963" width="11" style="5" customWidth="1"/>
    <col min="8964" max="8964" width="8.85546875" style="5"/>
    <col min="8965" max="8965" width="0.7109375" style="5" customWidth="1"/>
    <col min="8966" max="8966" width="11" style="5" customWidth="1"/>
    <col min="8967" max="8967" width="8.85546875" style="5"/>
    <col min="8968" max="8968" width="0.7109375" style="5" customWidth="1"/>
    <col min="8969" max="8969" width="11" style="5" customWidth="1"/>
    <col min="8970" max="9199" width="8.85546875" style="5"/>
    <col min="9200" max="9200" width="21.140625" style="5" customWidth="1"/>
    <col min="9201" max="9201" width="11" style="5" customWidth="1"/>
    <col min="9202" max="9202" width="9" style="5" customWidth="1"/>
    <col min="9203" max="9203" width="0.7109375" style="5" customWidth="1"/>
    <col min="9204" max="9204" width="11" style="5" customWidth="1"/>
    <col min="9205" max="9205" width="8.85546875" style="5"/>
    <col min="9206" max="9206" width="0.7109375" style="5" customWidth="1"/>
    <col min="9207" max="9207" width="11" style="5" customWidth="1"/>
    <col min="9208" max="9208" width="8.85546875" style="5"/>
    <col min="9209" max="9209" width="0.7109375" style="5" customWidth="1"/>
    <col min="9210" max="9210" width="16.42578125" style="5" customWidth="1"/>
    <col min="9211" max="9211" width="8.85546875" style="5"/>
    <col min="9212" max="9212" width="0.7109375" style="5" customWidth="1"/>
    <col min="9213" max="9213" width="11" style="5" customWidth="1"/>
    <col min="9214" max="9214" width="8.85546875" style="5"/>
    <col min="9215" max="9215" width="0.7109375" style="5" customWidth="1"/>
    <col min="9216" max="9216" width="11" style="5" customWidth="1"/>
    <col min="9217" max="9217" width="8.85546875" style="5"/>
    <col min="9218" max="9218" width="0.7109375" style="5" customWidth="1"/>
    <col min="9219" max="9219" width="11" style="5" customWidth="1"/>
    <col min="9220" max="9220" width="8.85546875" style="5"/>
    <col min="9221" max="9221" width="0.7109375" style="5" customWidth="1"/>
    <col min="9222" max="9222" width="11" style="5" customWidth="1"/>
    <col min="9223" max="9223" width="8.85546875" style="5"/>
    <col min="9224" max="9224" width="0.7109375" style="5" customWidth="1"/>
    <col min="9225" max="9225" width="11" style="5" customWidth="1"/>
    <col min="9226" max="9455" width="8.85546875" style="5"/>
    <col min="9456" max="9456" width="21.140625" style="5" customWidth="1"/>
    <col min="9457" max="9457" width="11" style="5" customWidth="1"/>
    <col min="9458" max="9458" width="9" style="5" customWidth="1"/>
    <col min="9459" max="9459" width="0.7109375" style="5" customWidth="1"/>
    <col min="9460" max="9460" width="11" style="5" customWidth="1"/>
    <col min="9461" max="9461" width="8.85546875" style="5"/>
    <col min="9462" max="9462" width="0.7109375" style="5" customWidth="1"/>
    <col min="9463" max="9463" width="11" style="5" customWidth="1"/>
    <col min="9464" max="9464" width="8.85546875" style="5"/>
    <col min="9465" max="9465" width="0.7109375" style="5" customWidth="1"/>
    <col min="9466" max="9466" width="16.42578125" style="5" customWidth="1"/>
    <col min="9467" max="9467" width="8.85546875" style="5"/>
    <col min="9468" max="9468" width="0.7109375" style="5" customWidth="1"/>
    <col min="9469" max="9469" width="11" style="5" customWidth="1"/>
    <col min="9470" max="9470" width="8.85546875" style="5"/>
    <col min="9471" max="9471" width="0.7109375" style="5" customWidth="1"/>
    <col min="9472" max="9472" width="11" style="5" customWidth="1"/>
    <col min="9473" max="9473" width="8.85546875" style="5"/>
    <col min="9474" max="9474" width="0.7109375" style="5" customWidth="1"/>
    <col min="9475" max="9475" width="11" style="5" customWidth="1"/>
    <col min="9476" max="9476" width="8.85546875" style="5"/>
    <col min="9477" max="9477" width="0.7109375" style="5" customWidth="1"/>
    <col min="9478" max="9478" width="11" style="5" customWidth="1"/>
    <col min="9479" max="9479" width="8.85546875" style="5"/>
    <col min="9480" max="9480" width="0.7109375" style="5" customWidth="1"/>
    <col min="9481" max="9481" width="11" style="5" customWidth="1"/>
    <col min="9482" max="9711" width="8.85546875" style="5"/>
    <col min="9712" max="9712" width="21.140625" style="5" customWidth="1"/>
    <col min="9713" max="9713" width="11" style="5" customWidth="1"/>
    <col min="9714" max="9714" width="9" style="5" customWidth="1"/>
    <col min="9715" max="9715" width="0.7109375" style="5" customWidth="1"/>
    <col min="9716" max="9716" width="11" style="5" customWidth="1"/>
    <col min="9717" max="9717" width="8.85546875" style="5"/>
    <col min="9718" max="9718" width="0.7109375" style="5" customWidth="1"/>
    <col min="9719" max="9719" width="11" style="5" customWidth="1"/>
    <col min="9720" max="9720" width="8.85546875" style="5"/>
    <col min="9721" max="9721" width="0.7109375" style="5" customWidth="1"/>
    <col min="9722" max="9722" width="16.42578125" style="5" customWidth="1"/>
    <col min="9723" max="9723" width="8.85546875" style="5"/>
    <col min="9724" max="9724" width="0.7109375" style="5" customWidth="1"/>
    <col min="9725" max="9725" width="11" style="5" customWidth="1"/>
    <col min="9726" max="9726" width="8.85546875" style="5"/>
    <col min="9727" max="9727" width="0.7109375" style="5" customWidth="1"/>
    <col min="9728" max="9728" width="11" style="5" customWidth="1"/>
    <col min="9729" max="9729" width="8.85546875" style="5"/>
    <col min="9730" max="9730" width="0.7109375" style="5" customWidth="1"/>
    <col min="9731" max="9731" width="11" style="5" customWidth="1"/>
    <col min="9732" max="9732" width="8.85546875" style="5"/>
    <col min="9733" max="9733" width="0.7109375" style="5" customWidth="1"/>
    <col min="9734" max="9734" width="11" style="5" customWidth="1"/>
    <col min="9735" max="9735" width="8.85546875" style="5"/>
    <col min="9736" max="9736" width="0.7109375" style="5" customWidth="1"/>
    <col min="9737" max="9737" width="11" style="5" customWidth="1"/>
    <col min="9738" max="9967" width="8.85546875" style="5"/>
    <col min="9968" max="9968" width="21.140625" style="5" customWidth="1"/>
    <col min="9969" max="9969" width="11" style="5" customWidth="1"/>
    <col min="9970" max="9970" width="9" style="5" customWidth="1"/>
    <col min="9971" max="9971" width="0.7109375" style="5" customWidth="1"/>
    <col min="9972" max="9972" width="11" style="5" customWidth="1"/>
    <col min="9973" max="9973" width="8.85546875" style="5"/>
    <col min="9974" max="9974" width="0.7109375" style="5" customWidth="1"/>
    <col min="9975" max="9975" width="11" style="5" customWidth="1"/>
    <col min="9976" max="9976" width="8.85546875" style="5"/>
    <col min="9977" max="9977" width="0.7109375" style="5" customWidth="1"/>
    <col min="9978" max="9978" width="16.42578125" style="5" customWidth="1"/>
    <col min="9979" max="9979" width="8.85546875" style="5"/>
    <col min="9980" max="9980" width="0.7109375" style="5" customWidth="1"/>
    <col min="9981" max="9981" width="11" style="5" customWidth="1"/>
    <col min="9982" max="9982" width="8.85546875" style="5"/>
    <col min="9983" max="9983" width="0.7109375" style="5" customWidth="1"/>
    <col min="9984" max="9984" width="11" style="5" customWidth="1"/>
    <col min="9985" max="9985" width="8.85546875" style="5"/>
    <col min="9986" max="9986" width="0.7109375" style="5" customWidth="1"/>
    <col min="9987" max="9987" width="11" style="5" customWidth="1"/>
    <col min="9988" max="9988" width="8.85546875" style="5"/>
    <col min="9989" max="9989" width="0.7109375" style="5" customWidth="1"/>
    <col min="9990" max="9990" width="11" style="5" customWidth="1"/>
    <col min="9991" max="9991" width="8.85546875" style="5"/>
    <col min="9992" max="9992" width="0.7109375" style="5" customWidth="1"/>
    <col min="9993" max="9993" width="11" style="5" customWidth="1"/>
    <col min="9994" max="10223" width="8.85546875" style="5"/>
    <col min="10224" max="10224" width="21.140625" style="5" customWidth="1"/>
    <col min="10225" max="10225" width="11" style="5" customWidth="1"/>
    <col min="10226" max="10226" width="9" style="5" customWidth="1"/>
    <col min="10227" max="10227" width="0.7109375" style="5" customWidth="1"/>
    <col min="10228" max="10228" width="11" style="5" customWidth="1"/>
    <col min="10229" max="10229" width="8.85546875" style="5"/>
    <col min="10230" max="10230" width="0.7109375" style="5" customWidth="1"/>
    <col min="10231" max="10231" width="11" style="5" customWidth="1"/>
    <col min="10232" max="10232" width="8.85546875" style="5"/>
    <col min="10233" max="10233" width="0.7109375" style="5" customWidth="1"/>
    <col min="10234" max="10234" width="16.42578125" style="5" customWidth="1"/>
    <col min="10235" max="10235" width="8.85546875" style="5"/>
    <col min="10236" max="10236" width="0.7109375" style="5" customWidth="1"/>
    <col min="10237" max="10237" width="11" style="5" customWidth="1"/>
    <col min="10238" max="10238" width="8.85546875" style="5"/>
    <col min="10239" max="10239" width="0.7109375" style="5" customWidth="1"/>
    <col min="10240" max="10240" width="11" style="5" customWidth="1"/>
    <col min="10241" max="10241" width="8.85546875" style="5"/>
    <col min="10242" max="10242" width="0.7109375" style="5" customWidth="1"/>
    <col min="10243" max="10243" width="11" style="5" customWidth="1"/>
    <col min="10244" max="10244" width="8.85546875" style="5"/>
    <col min="10245" max="10245" width="0.7109375" style="5" customWidth="1"/>
    <col min="10246" max="10246" width="11" style="5" customWidth="1"/>
    <col min="10247" max="10247" width="8.85546875" style="5"/>
    <col min="10248" max="10248" width="0.7109375" style="5" customWidth="1"/>
    <col min="10249" max="10249" width="11" style="5" customWidth="1"/>
    <col min="10250" max="10479" width="8.85546875" style="5"/>
    <col min="10480" max="10480" width="21.140625" style="5" customWidth="1"/>
    <col min="10481" max="10481" width="11" style="5" customWidth="1"/>
    <col min="10482" max="10482" width="9" style="5" customWidth="1"/>
    <col min="10483" max="10483" width="0.7109375" style="5" customWidth="1"/>
    <col min="10484" max="10484" width="11" style="5" customWidth="1"/>
    <col min="10485" max="10485" width="8.85546875" style="5"/>
    <col min="10486" max="10486" width="0.7109375" style="5" customWidth="1"/>
    <col min="10487" max="10487" width="11" style="5" customWidth="1"/>
    <col min="10488" max="10488" width="8.85546875" style="5"/>
    <col min="10489" max="10489" width="0.7109375" style="5" customWidth="1"/>
    <col min="10490" max="10490" width="16.42578125" style="5" customWidth="1"/>
    <col min="10491" max="10491" width="8.85546875" style="5"/>
    <col min="10492" max="10492" width="0.7109375" style="5" customWidth="1"/>
    <col min="10493" max="10493" width="11" style="5" customWidth="1"/>
    <col min="10494" max="10494" width="8.85546875" style="5"/>
    <col min="10495" max="10495" width="0.7109375" style="5" customWidth="1"/>
    <col min="10496" max="10496" width="11" style="5" customWidth="1"/>
    <col min="10497" max="10497" width="8.85546875" style="5"/>
    <col min="10498" max="10498" width="0.7109375" style="5" customWidth="1"/>
    <col min="10499" max="10499" width="11" style="5" customWidth="1"/>
    <col min="10500" max="10500" width="8.85546875" style="5"/>
    <col min="10501" max="10501" width="0.7109375" style="5" customWidth="1"/>
    <col min="10502" max="10502" width="11" style="5" customWidth="1"/>
    <col min="10503" max="10503" width="8.85546875" style="5"/>
    <col min="10504" max="10504" width="0.7109375" style="5" customWidth="1"/>
    <col min="10505" max="10505" width="11" style="5" customWidth="1"/>
    <col min="10506" max="10735" width="8.85546875" style="5"/>
    <col min="10736" max="10736" width="21.140625" style="5" customWidth="1"/>
    <col min="10737" max="10737" width="11" style="5" customWidth="1"/>
    <col min="10738" max="10738" width="9" style="5" customWidth="1"/>
    <col min="10739" max="10739" width="0.7109375" style="5" customWidth="1"/>
    <col min="10740" max="10740" width="11" style="5" customWidth="1"/>
    <col min="10741" max="10741" width="8.85546875" style="5"/>
    <col min="10742" max="10742" width="0.7109375" style="5" customWidth="1"/>
    <col min="10743" max="10743" width="11" style="5" customWidth="1"/>
    <col min="10744" max="10744" width="8.85546875" style="5"/>
    <col min="10745" max="10745" width="0.7109375" style="5" customWidth="1"/>
    <col min="10746" max="10746" width="16.42578125" style="5" customWidth="1"/>
    <col min="10747" max="10747" width="8.85546875" style="5"/>
    <col min="10748" max="10748" width="0.7109375" style="5" customWidth="1"/>
    <col min="10749" max="10749" width="11" style="5" customWidth="1"/>
    <col min="10750" max="10750" width="8.85546875" style="5"/>
    <col min="10751" max="10751" width="0.7109375" style="5" customWidth="1"/>
    <col min="10752" max="10752" width="11" style="5" customWidth="1"/>
    <col min="10753" max="10753" width="8.85546875" style="5"/>
    <col min="10754" max="10754" width="0.7109375" style="5" customWidth="1"/>
    <col min="10755" max="10755" width="11" style="5" customWidth="1"/>
    <col min="10756" max="10756" width="8.85546875" style="5"/>
    <col min="10757" max="10757" width="0.7109375" style="5" customWidth="1"/>
    <col min="10758" max="10758" width="11" style="5" customWidth="1"/>
    <col min="10759" max="10759" width="8.85546875" style="5"/>
    <col min="10760" max="10760" width="0.7109375" style="5" customWidth="1"/>
    <col min="10761" max="10761" width="11" style="5" customWidth="1"/>
    <col min="10762" max="10991" width="8.85546875" style="5"/>
    <col min="10992" max="10992" width="21.140625" style="5" customWidth="1"/>
    <col min="10993" max="10993" width="11" style="5" customWidth="1"/>
    <col min="10994" max="10994" width="9" style="5" customWidth="1"/>
    <col min="10995" max="10995" width="0.7109375" style="5" customWidth="1"/>
    <col min="10996" max="10996" width="11" style="5" customWidth="1"/>
    <col min="10997" max="10997" width="8.85546875" style="5"/>
    <col min="10998" max="10998" width="0.7109375" style="5" customWidth="1"/>
    <col min="10999" max="10999" width="11" style="5" customWidth="1"/>
    <col min="11000" max="11000" width="8.85546875" style="5"/>
    <col min="11001" max="11001" width="0.7109375" style="5" customWidth="1"/>
    <col min="11002" max="11002" width="16.42578125" style="5" customWidth="1"/>
    <col min="11003" max="11003" width="8.85546875" style="5"/>
    <col min="11004" max="11004" width="0.7109375" style="5" customWidth="1"/>
    <col min="11005" max="11005" width="11" style="5" customWidth="1"/>
    <col min="11006" max="11006" width="8.85546875" style="5"/>
    <col min="11007" max="11007" width="0.7109375" style="5" customWidth="1"/>
    <col min="11008" max="11008" width="11" style="5" customWidth="1"/>
    <col min="11009" max="11009" width="8.85546875" style="5"/>
    <col min="11010" max="11010" width="0.7109375" style="5" customWidth="1"/>
    <col min="11011" max="11011" width="11" style="5" customWidth="1"/>
    <col min="11012" max="11012" width="8.85546875" style="5"/>
    <col min="11013" max="11013" width="0.7109375" style="5" customWidth="1"/>
    <col min="11014" max="11014" width="11" style="5" customWidth="1"/>
    <col min="11015" max="11015" width="8.85546875" style="5"/>
    <col min="11016" max="11016" width="0.7109375" style="5" customWidth="1"/>
    <col min="11017" max="11017" width="11" style="5" customWidth="1"/>
    <col min="11018" max="11247" width="8.85546875" style="5"/>
    <col min="11248" max="11248" width="21.140625" style="5" customWidth="1"/>
    <col min="11249" max="11249" width="11" style="5" customWidth="1"/>
    <col min="11250" max="11250" width="9" style="5" customWidth="1"/>
    <col min="11251" max="11251" width="0.7109375" style="5" customWidth="1"/>
    <col min="11252" max="11252" width="11" style="5" customWidth="1"/>
    <col min="11253" max="11253" width="8.85546875" style="5"/>
    <col min="11254" max="11254" width="0.7109375" style="5" customWidth="1"/>
    <col min="11255" max="11255" width="11" style="5" customWidth="1"/>
    <col min="11256" max="11256" width="8.85546875" style="5"/>
    <col min="11257" max="11257" width="0.7109375" style="5" customWidth="1"/>
    <col min="11258" max="11258" width="16.42578125" style="5" customWidth="1"/>
    <col min="11259" max="11259" width="8.85546875" style="5"/>
    <col min="11260" max="11260" width="0.7109375" style="5" customWidth="1"/>
    <col min="11261" max="11261" width="11" style="5" customWidth="1"/>
    <col min="11262" max="11262" width="8.85546875" style="5"/>
    <col min="11263" max="11263" width="0.7109375" style="5" customWidth="1"/>
    <col min="11264" max="11264" width="11" style="5" customWidth="1"/>
    <col min="11265" max="11265" width="8.85546875" style="5"/>
    <col min="11266" max="11266" width="0.7109375" style="5" customWidth="1"/>
    <col min="11267" max="11267" width="11" style="5" customWidth="1"/>
    <col min="11268" max="11268" width="8.85546875" style="5"/>
    <col min="11269" max="11269" width="0.7109375" style="5" customWidth="1"/>
    <col min="11270" max="11270" width="11" style="5" customWidth="1"/>
    <col min="11271" max="11271" width="8.85546875" style="5"/>
    <col min="11272" max="11272" width="0.7109375" style="5" customWidth="1"/>
    <col min="11273" max="11273" width="11" style="5" customWidth="1"/>
    <col min="11274" max="11503" width="8.85546875" style="5"/>
    <col min="11504" max="11504" width="21.140625" style="5" customWidth="1"/>
    <col min="11505" max="11505" width="11" style="5" customWidth="1"/>
    <col min="11506" max="11506" width="9" style="5" customWidth="1"/>
    <col min="11507" max="11507" width="0.7109375" style="5" customWidth="1"/>
    <col min="11508" max="11508" width="11" style="5" customWidth="1"/>
    <col min="11509" max="11509" width="8.85546875" style="5"/>
    <col min="11510" max="11510" width="0.7109375" style="5" customWidth="1"/>
    <col min="11511" max="11511" width="11" style="5" customWidth="1"/>
    <col min="11512" max="11512" width="8.85546875" style="5"/>
    <col min="11513" max="11513" width="0.7109375" style="5" customWidth="1"/>
    <col min="11514" max="11514" width="16.42578125" style="5" customWidth="1"/>
    <col min="11515" max="11515" width="8.85546875" style="5"/>
    <col min="11516" max="11516" width="0.7109375" style="5" customWidth="1"/>
    <col min="11517" max="11517" width="11" style="5" customWidth="1"/>
    <col min="11518" max="11518" width="8.85546875" style="5"/>
    <col min="11519" max="11519" width="0.7109375" style="5" customWidth="1"/>
    <col min="11520" max="11520" width="11" style="5" customWidth="1"/>
    <col min="11521" max="11521" width="8.85546875" style="5"/>
    <col min="11522" max="11522" width="0.7109375" style="5" customWidth="1"/>
    <col min="11523" max="11523" width="11" style="5" customWidth="1"/>
    <col min="11524" max="11524" width="8.85546875" style="5"/>
    <col min="11525" max="11525" width="0.7109375" style="5" customWidth="1"/>
    <col min="11526" max="11526" width="11" style="5" customWidth="1"/>
    <col min="11527" max="11527" width="8.85546875" style="5"/>
    <col min="11528" max="11528" width="0.7109375" style="5" customWidth="1"/>
    <col min="11529" max="11529" width="11" style="5" customWidth="1"/>
    <col min="11530" max="11759" width="8.85546875" style="5"/>
    <col min="11760" max="11760" width="21.140625" style="5" customWidth="1"/>
    <col min="11761" max="11761" width="11" style="5" customWidth="1"/>
    <col min="11762" max="11762" width="9" style="5" customWidth="1"/>
    <col min="11763" max="11763" width="0.7109375" style="5" customWidth="1"/>
    <col min="11764" max="11764" width="11" style="5" customWidth="1"/>
    <col min="11765" max="11765" width="8.85546875" style="5"/>
    <col min="11766" max="11766" width="0.7109375" style="5" customWidth="1"/>
    <col min="11767" max="11767" width="11" style="5" customWidth="1"/>
    <col min="11768" max="11768" width="8.85546875" style="5"/>
    <col min="11769" max="11769" width="0.7109375" style="5" customWidth="1"/>
    <col min="11770" max="11770" width="16.42578125" style="5" customWidth="1"/>
    <col min="11771" max="11771" width="8.85546875" style="5"/>
    <col min="11772" max="11772" width="0.7109375" style="5" customWidth="1"/>
    <col min="11773" max="11773" width="11" style="5" customWidth="1"/>
    <col min="11774" max="11774" width="8.85546875" style="5"/>
    <col min="11775" max="11775" width="0.7109375" style="5" customWidth="1"/>
    <col min="11776" max="11776" width="11" style="5" customWidth="1"/>
    <col min="11777" max="11777" width="8.85546875" style="5"/>
    <col min="11778" max="11778" width="0.7109375" style="5" customWidth="1"/>
    <col min="11779" max="11779" width="11" style="5" customWidth="1"/>
    <col min="11780" max="11780" width="8.85546875" style="5"/>
    <col min="11781" max="11781" width="0.7109375" style="5" customWidth="1"/>
    <col min="11782" max="11782" width="11" style="5" customWidth="1"/>
    <col min="11783" max="11783" width="8.85546875" style="5"/>
    <col min="11784" max="11784" width="0.7109375" style="5" customWidth="1"/>
    <col min="11785" max="11785" width="11" style="5" customWidth="1"/>
    <col min="11786" max="12015" width="8.85546875" style="5"/>
    <col min="12016" max="12016" width="21.140625" style="5" customWidth="1"/>
    <col min="12017" max="12017" width="11" style="5" customWidth="1"/>
    <col min="12018" max="12018" width="9" style="5" customWidth="1"/>
    <col min="12019" max="12019" width="0.7109375" style="5" customWidth="1"/>
    <col min="12020" max="12020" width="11" style="5" customWidth="1"/>
    <col min="12021" max="12021" width="8.85546875" style="5"/>
    <col min="12022" max="12022" width="0.7109375" style="5" customWidth="1"/>
    <col min="12023" max="12023" width="11" style="5" customWidth="1"/>
    <col min="12024" max="12024" width="8.85546875" style="5"/>
    <col min="12025" max="12025" width="0.7109375" style="5" customWidth="1"/>
    <col min="12026" max="12026" width="16.42578125" style="5" customWidth="1"/>
    <col min="12027" max="12027" width="8.85546875" style="5"/>
    <col min="12028" max="12028" width="0.7109375" style="5" customWidth="1"/>
    <col min="12029" max="12029" width="11" style="5" customWidth="1"/>
    <col min="12030" max="12030" width="8.85546875" style="5"/>
    <col min="12031" max="12031" width="0.7109375" style="5" customWidth="1"/>
    <col min="12032" max="12032" width="11" style="5" customWidth="1"/>
    <col min="12033" max="12033" width="8.85546875" style="5"/>
    <col min="12034" max="12034" width="0.7109375" style="5" customWidth="1"/>
    <col min="12035" max="12035" width="11" style="5" customWidth="1"/>
    <col min="12036" max="12036" width="8.85546875" style="5"/>
    <col min="12037" max="12037" width="0.7109375" style="5" customWidth="1"/>
    <col min="12038" max="12038" width="11" style="5" customWidth="1"/>
    <col min="12039" max="12039" width="8.85546875" style="5"/>
    <col min="12040" max="12040" width="0.7109375" style="5" customWidth="1"/>
    <col min="12041" max="12041" width="11" style="5" customWidth="1"/>
    <col min="12042" max="12271" width="8.85546875" style="5"/>
    <col min="12272" max="12272" width="21.140625" style="5" customWidth="1"/>
    <col min="12273" max="12273" width="11" style="5" customWidth="1"/>
    <col min="12274" max="12274" width="9" style="5" customWidth="1"/>
    <col min="12275" max="12275" width="0.7109375" style="5" customWidth="1"/>
    <col min="12276" max="12276" width="11" style="5" customWidth="1"/>
    <col min="12277" max="12277" width="8.85546875" style="5"/>
    <col min="12278" max="12278" width="0.7109375" style="5" customWidth="1"/>
    <col min="12279" max="12279" width="11" style="5" customWidth="1"/>
    <col min="12280" max="12280" width="8.85546875" style="5"/>
    <col min="12281" max="12281" width="0.7109375" style="5" customWidth="1"/>
    <col min="12282" max="12282" width="16.42578125" style="5" customWidth="1"/>
    <col min="12283" max="12283" width="8.85546875" style="5"/>
    <col min="12284" max="12284" width="0.7109375" style="5" customWidth="1"/>
    <col min="12285" max="12285" width="11" style="5" customWidth="1"/>
    <col min="12286" max="12286" width="8.85546875" style="5"/>
    <col min="12287" max="12287" width="0.7109375" style="5" customWidth="1"/>
    <col min="12288" max="12288" width="11" style="5" customWidth="1"/>
    <col min="12289" max="12289" width="8.85546875" style="5"/>
    <col min="12290" max="12290" width="0.7109375" style="5" customWidth="1"/>
    <col min="12291" max="12291" width="11" style="5" customWidth="1"/>
    <col min="12292" max="12292" width="8.85546875" style="5"/>
    <col min="12293" max="12293" width="0.7109375" style="5" customWidth="1"/>
    <col min="12294" max="12294" width="11" style="5" customWidth="1"/>
    <col min="12295" max="12295" width="8.85546875" style="5"/>
    <col min="12296" max="12296" width="0.7109375" style="5" customWidth="1"/>
    <col min="12297" max="12297" width="11" style="5" customWidth="1"/>
    <col min="12298" max="12527" width="8.85546875" style="5"/>
    <col min="12528" max="12528" width="21.140625" style="5" customWidth="1"/>
    <col min="12529" max="12529" width="11" style="5" customWidth="1"/>
    <col min="12530" max="12530" width="9" style="5" customWidth="1"/>
    <col min="12531" max="12531" width="0.7109375" style="5" customWidth="1"/>
    <col min="12532" max="12532" width="11" style="5" customWidth="1"/>
    <col min="12533" max="12533" width="8.85546875" style="5"/>
    <col min="12534" max="12534" width="0.7109375" style="5" customWidth="1"/>
    <col min="12535" max="12535" width="11" style="5" customWidth="1"/>
    <col min="12536" max="12536" width="8.85546875" style="5"/>
    <col min="12537" max="12537" width="0.7109375" style="5" customWidth="1"/>
    <col min="12538" max="12538" width="16.42578125" style="5" customWidth="1"/>
    <col min="12539" max="12539" width="8.85546875" style="5"/>
    <col min="12540" max="12540" width="0.7109375" style="5" customWidth="1"/>
    <col min="12541" max="12541" width="11" style="5" customWidth="1"/>
    <col min="12542" max="12542" width="8.85546875" style="5"/>
    <col min="12543" max="12543" width="0.7109375" style="5" customWidth="1"/>
    <col min="12544" max="12544" width="11" style="5" customWidth="1"/>
    <col min="12545" max="12545" width="8.85546875" style="5"/>
    <col min="12546" max="12546" width="0.7109375" style="5" customWidth="1"/>
    <col min="12547" max="12547" width="11" style="5" customWidth="1"/>
    <col min="12548" max="12548" width="8.85546875" style="5"/>
    <col min="12549" max="12549" width="0.7109375" style="5" customWidth="1"/>
    <col min="12550" max="12550" width="11" style="5" customWidth="1"/>
    <col min="12551" max="12551" width="8.85546875" style="5"/>
    <col min="12552" max="12552" width="0.7109375" style="5" customWidth="1"/>
    <col min="12553" max="12553" width="11" style="5" customWidth="1"/>
    <col min="12554" max="12783" width="8.85546875" style="5"/>
    <col min="12784" max="12784" width="21.140625" style="5" customWidth="1"/>
    <col min="12785" max="12785" width="11" style="5" customWidth="1"/>
    <col min="12786" max="12786" width="9" style="5" customWidth="1"/>
    <col min="12787" max="12787" width="0.7109375" style="5" customWidth="1"/>
    <col min="12788" max="12788" width="11" style="5" customWidth="1"/>
    <col min="12789" max="12789" width="8.85546875" style="5"/>
    <col min="12790" max="12790" width="0.7109375" style="5" customWidth="1"/>
    <col min="12791" max="12791" width="11" style="5" customWidth="1"/>
    <col min="12792" max="12792" width="8.85546875" style="5"/>
    <col min="12793" max="12793" width="0.7109375" style="5" customWidth="1"/>
    <col min="12794" max="12794" width="16.42578125" style="5" customWidth="1"/>
    <col min="12795" max="12795" width="8.85546875" style="5"/>
    <col min="12796" max="12796" width="0.7109375" style="5" customWidth="1"/>
    <col min="12797" max="12797" width="11" style="5" customWidth="1"/>
    <col min="12798" max="12798" width="8.85546875" style="5"/>
    <col min="12799" max="12799" width="0.7109375" style="5" customWidth="1"/>
    <col min="12800" max="12800" width="11" style="5" customWidth="1"/>
    <col min="12801" max="12801" width="8.85546875" style="5"/>
    <col min="12802" max="12802" width="0.7109375" style="5" customWidth="1"/>
    <col min="12803" max="12803" width="11" style="5" customWidth="1"/>
    <col min="12804" max="12804" width="8.85546875" style="5"/>
    <col min="12805" max="12805" width="0.7109375" style="5" customWidth="1"/>
    <col min="12806" max="12806" width="11" style="5" customWidth="1"/>
    <col min="12807" max="12807" width="8.85546875" style="5"/>
    <col min="12808" max="12808" width="0.7109375" style="5" customWidth="1"/>
    <col min="12809" max="12809" width="11" style="5" customWidth="1"/>
    <col min="12810" max="13039" width="8.85546875" style="5"/>
    <col min="13040" max="13040" width="21.140625" style="5" customWidth="1"/>
    <col min="13041" max="13041" width="11" style="5" customWidth="1"/>
    <col min="13042" max="13042" width="9" style="5" customWidth="1"/>
    <col min="13043" max="13043" width="0.7109375" style="5" customWidth="1"/>
    <col min="13044" max="13044" width="11" style="5" customWidth="1"/>
    <col min="13045" max="13045" width="8.85546875" style="5"/>
    <col min="13046" max="13046" width="0.7109375" style="5" customWidth="1"/>
    <col min="13047" max="13047" width="11" style="5" customWidth="1"/>
    <col min="13048" max="13048" width="8.85546875" style="5"/>
    <col min="13049" max="13049" width="0.7109375" style="5" customWidth="1"/>
    <col min="13050" max="13050" width="16.42578125" style="5" customWidth="1"/>
    <col min="13051" max="13051" width="8.85546875" style="5"/>
    <col min="13052" max="13052" width="0.7109375" style="5" customWidth="1"/>
    <col min="13053" max="13053" width="11" style="5" customWidth="1"/>
    <col min="13054" max="13054" width="8.85546875" style="5"/>
    <col min="13055" max="13055" width="0.7109375" style="5" customWidth="1"/>
    <col min="13056" max="13056" width="11" style="5" customWidth="1"/>
    <col min="13057" max="13057" width="8.85546875" style="5"/>
    <col min="13058" max="13058" width="0.7109375" style="5" customWidth="1"/>
    <col min="13059" max="13059" width="11" style="5" customWidth="1"/>
    <col min="13060" max="13060" width="8.85546875" style="5"/>
    <col min="13061" max="13061" width="0.7109375" style="5" customWidth="1"/>
    <col min="13062" max="13062" width="11" style="5" customWidth="1"/>
    <col min="13063" max="13063" width="8.85546875" style="5"/>
    <col min="13064" max="13064" width="0.7109375" style="5" customWidth="1"/>
    <col min="13065" max="13065" width="11" style="5" customWidth="1"/>
    <col min="13066" max="13295" width="8.85546875" style="5"/>
    <col min="13296" max="13296" width="21.140625" style="5" customWidth="1"/>
    <col min="13297" max="13297" width="11" style="5" customWidth="1"/>
    <col min="13298" max="13298" width="9" style="5" customWidth="1"/>
    <col min="13299" max="13299" width="0.7109375" style="5" customWidth="1"/>
    <col min="13300" max="13300" width="11" style="5" customWidth="1"/>
    <col min="13301" max="13301" width="8.85546875" style="5"/>
    <col min="13302" max="13302" width="0.7109375" style="5" customWidth="1"/>
    <col min="13303" max="13303" width="11" style="5" customWidth="1"/>
    <col min="13304" max="13304" width="8.85546875" style="5"/>
    <col min="13305" max="13305" width="0.7109375" style="5" customWidth="1"/>
    <col min="13306" max="13306" width="16.42578125" style="5" customWidth="1"/>
    <col min="13307" max="13307" width="8.85546875" style="5"/>
    <col min="13308" max="13308" width="0.7109375" style="5" customWidth="1"/>
    <col min="13309" max="13309" width="11" style="5" customWidth="1"/>
    <col min="13310" max="13310" width="8.85546875" style="5"/>
    <col min="13311" max="13311" width="0.7109375" style="5" customWidth="1"/>
    <col min="13312" max="13312" width="11" style="5" customWidth="1"/>
    <col min="13313" max="13313" width="8.85546875" style="5"/>
    <col min="13314" max="13314" width="0.7109375" style="5" customWidth="1"/>
    <col min="13315" max="13315" width="11" style="5" customWidth="1"/>
    <col min="13316" max="13316" width="8.85546875" style="5"/>
    <col min="13317" max="13317" width="0.7109375" style="5" customWidth="1"/>
    <col min="13318" max="13318" width="11" style="5" customWidth="1"/>
    <col min="13319" max="13319" width="8.85546875" style="5"/>
    <col min="13320" max="13320" width="0.7109375" style="5" customWidth="1"/>
    <col min="13321" max="13321" width="11" style="5" customWidth="1"/>
    <col min="13322" max="13551" width="8.85546875" style="5"/>
    <col min="13552" max="13552" width="21.140625" style="5" customWidth="1"/>
    <col min="13553" max="13553" width="11" style="5" customWidth="1"/>
    <col min="13554" max="13554" width="9" style="5" customWidth="1"/>
    <col min="13555" max="13555" width="0.7109375" style="5" customWidth="1"/>
    <col min="13556" max="13556" width="11" style="5" customWidth="1"/>
    <col min="13557" max="13557" width="8.85546875" style="5"/>
    <col min="13558" max="13558" width="0.7109375" style="5" customWidth="1"/>
    <col min="13559" max="13559" width="11" style="5" customWidth="1"/>
    <col min="13560" max="13560" width="8.85546875" style="5"/>
    <col min="13561" max="13561" width="0.7109375" style="5" customWidth="1"/>
    <col min="13562" max="13562" width="16.42578125" style="5" customWidth="1"/>
    <col min="13563" max="13563" width="8.85546875" style="5"/>
    <col min="13564" max="13564" width="0.7109375" style="5" customWidth="1"/>
    <col min="13565" max="13565" width="11" style="5" customWidth="1"/>
    <col min="13566" max="13566" width="8.85546875" style="5"/>
    <col min="13567" max="13567" width="0.7109375" style="5" customWidth="1"/>
    <col min="13568" max="13568" width="11" style="5" customWidth="1"/>
    <col min="13569" max="13569" width="8.85546875" style="5"/>
    <col min="13570" max="13570" width="0.7109375" style="5" customWidth="1"/>
    <col min="13571" max="13571" width="11" style="5" customWidth="1"/>
    <col min="13572" max="13572" width="8.85546875" style="5"/>
    <col min="13573" max="13573" width="0.7109375" style="5" customWidth="1"/>
    <col min="13574" max="13574" width="11" style="5" customWidth="1"/>
    <col min="13575" max="13575" width="8.85546875" style="5"/>
    <col min="13576" max="13576" width="0.7109375" style="5" customWidth="1"/>
    <col min="13577" max="13577" width="11" style="5" customWidth="1"/>
    <col min="13578" max="13807" width="8.85546875" style="5"/>
    <col min="13808" max="13808" width="21.140625" style="5" customWidth="1"/>
    <col min="13809" max="13809" width="11" style="5" customWidth="1"/>
    <col min="13810" max="13810" width="9" style="5" customWidth="1"/>
    <col min="13811" max="13811" width="0.7109375" style="5" customWidth="1"/>
    <col min="13812" max="13812" width="11" style="5" customWidth="1"/>
    <col min="13813" max="13813" width="8.85546875" style="5"/>
    <col min="13814" max="13814" width="0.7109375" style="5" customWidth="1"/>
    <col min="13815" max="13815" width="11" style="5" customWidth="1"/>
    <col min="13816" max="13816" width="8.85546875" style="5"/>
    <col min="13817" max="13817" width="0.7109375" style="5" customWidth="1"/>
    <col min="13818" max="13818" width="16.42578125" style="5" customWidth="1"/>
    <col min="13819" max="13819" width="8.85546875" style="5"/>
    <col min="13820" max="13820" width="0.7109375" style="5" customWidth="1"/>
    <col min="13821" max="13821" width="11" style="5" customWidth="1"/>
    <col min="13822" max="13822" width="8.85546875" style="5"/>
    <col min="13823" max="13823" width="0.7109375" style="5" customWidth="1"/>
    <col min="13824" max="13824" width="11" style="5" customWidth="1"/>
    <col min="13825" max="13825" width="8.85546875" style="5"/>
    <col min="13826" max="13826" width="0.7109375" style="5" customWidth="1"/>
    <col min="13827" max="13827" width="11" style="5" customWidth="1"/>
    <col min="13828" max="13828" width="8.85546875" style="5"/>
    <col min="13829" max="13829" width="0.7109375" style="5" customWidth="1"/>
    <col min="13830" max="13830" width="11" style="5" customWidth="1"/>
    <col min="13831" max="13831" width="8.85546875" style="5"/>
    <col min="13832" max="13832" width="0.7109375" style="5" customWidth="1"/>
    <col min="13833" max="13833" width="11" style="5" customWidth="1"/>
    <col min="13834" max="14063" width="8.85546875" style="5"/>
    <col min="14064" max="14064" width="21.140625" style="5" customWidth="1"/>
    <col min="14065" max="14065" width="11" style="5" customWidth="1"/>
    <col min="14066" max="14066" width="9" style="5" customWidth="1"/>
    <col min="14067" max="14067" width="0.7109375" style="5" customWidth="1"/>
    <col min="14068" max="14068" width="11" style="5" customWidth="1"/>
    <col min="14069" max="14069" width="8.85546875" style="5"/>
    <col min="14070" max="14070" width="0.7109375" style="5" customWidth="1"/>
    <col min="14071" max="14071" width="11" style="5" customWidth="1"/>
    <col min="14072" max="14072" width="8.85546875" style="5"/>
    <col min="14073" max="14073" width="0.7109375" style="5" customWidth="1"/>
    <col min="14074" max="14074" width="16.42578125" style="5" customWidth="1"/>
    <col min="14075" max="14075" width="8.85546875" style="5"/>
    <col min="14076" max="14076" width="0.7109375" style="5" customWidth="1"/>
    <col min="14077" max="14077" width="11" style="5" customWidth="1"/>
    <col min="14078" max="14078" width="8.85546875" style="5"/>
    <col min="14079" max="14079" width="0.7109375" style="5" customWidth="1"/>
    <col min="14080" max="14080" width="11" style="5" customWidth="1"/>
    <col min="14081" max="14081" width="8.85546875" style="5"/>
    <col min="14082" max="14082" width="0.7109375" style="5" customWidth="1"/>
    <col min="14083" max="14083" width="11" style="5" customWidth="1"/>
    <col min="14084" max="14084" width="8.85546875" style="5"/>
    <col min="14085" max="14085" width="0.7109375" style="5" customWidth="1"/>
    <col min="14086" max="14086" width="11" style="5" customWidth="1"/>
    <col min="14087" max="14087" width="8.85546875" style="5"/>
    <col min="14088" max="14088" width="0.7109375" style="5" customWidth="1"/>
    <col min="14089" max="14089" width="11" style="5" customWidth="1"/>
    <col min="14090" max="14319" width="8.85546875" style="5"/>
    <col min="14320" max="14320" width="21.140625" style="5" customWidth="1"/>
    <col min="14321" max="14321" width="11" style="5" customWidth="1"/>
    <col min="14322" max="14322" width="9" style="5" customWidth="1"/>
    <col min="14323" max="14323" width="0.7109375" style="5" customWidth="1"/>
    <col min="14324" max="14324" width="11" style="5" customWidth="1"/>
    <col min="14325" max="14325" width="8.85546875" style="5"/>
    <col min="14326" max="14326" width="0.7109375" style="5" customWidth="1"/>
    <col min="14327" max="14327" width="11" style="5" customWidth="1"/>
    <col min="14328" max="14328" width="8.85546875" style="5"/>
    <col min="14329" max="14329" width="0.7109375" style="5" customWidth="1"/>
    <col min="14330" max="14330" width="16.42578125" style="5" customWidth="1"/>
    <col min="14331" max="14331" width="8.85546875" style="5"/>
    <col min="14332" max="14332" width="0.7109375" style="5" customWidth="1"/>
    <col min="14333" max="14333" width="11" style="5" customWidth="1"/>
    <col min="14334" max="14334" width="8.85546875" style="5"/>
    <col min="14335" max="14335" width="0.7109375" style="5" customWidth="1"/>
    <col min="14336" max="14336" width="11" style="5" customWidth="1"/>
    <col min="14337" max="14337" width="8.85546875" style="5"/>
    <col min="14338" max="14338" width="0.7109375" style="5" customWidth="1"/>
    <col min="14339" max="14339" width="11" style="5" customWidth="1"/>
    <col min="14340" max="14340" width="8.85546875" style="5"/>
    <col min="14341" max="14341" width="0.7109375" style="5" customWidth="1"/>
    <col min="14342" max="14342" width="11" style="5" customWidth="1"/>
    <col min="14343" max="14343" width="8.85546875" style="5"/>
    <col min="14344" max="14344" width="0.7109375" style="5" customWidth="1"/>
    <col min="14345" max="14345" width="11" style="5" customWidth="1"/>
    <col min="14346" max="14575" width="8.85546875" style="5"/>
    <col min="14576" max="14576" width="21.140625" style="5" customWidth="1"/>
    <col min="14577" max="14577" width="11" style="5" customWidth="1"/>
    <col min="14578" max="14578" width="9" style="5" customWidth="1"/>
    <col min="14579" max="14579" width="0.7109375" style="5" customWidth="1"/>
    <col min="14580" max="14580" width="11" style="5" customWidth="1"/>
    <col min="14581" max="14581" width="8.85546875" style="5"/>
    <col min="14582" max="14582" width="0.7109375" style="5" customWidth="1"/>
    <col min="14583" max="14583" width="11" style="5" customWidth="1"/>
    <col min="14584" max="14584" width="8.85546875" style="5"/>
    <col min="14585" max="14585" width="0.7109375" style="5" customWidth="1"/>
    <col min="14586" max="14586" width="16.42578125" style="5" customWidth="1"/>
    <col min="14587" max="14587" width="8.85546875" style="5"/>
    <col min="14588" max="14588" width="0.7109375" style="5" customWidth="1"/>
    <col min="14589" max="14589" width="11" style="5" customWidth="1"/>
    <col min="14590" max="14590" width="8.85546875" style="5"/>
    <col min="14591" max="14591" width="0.7109375" style="5" customWidth="1"/>
    <col min="14592" max="14592" width="11" style="5" customWidth="1"/>
    <col min="14593" max="14593" width="8.85546875" style="5"/>
    <col min="14594" max="14594" width="0.7109375" style="5" customWidth="1"/>
    <col min="14595" max="14595" width="11" style="5" customWidth="1"/>
    <col min="14596" max="14596" width="8.85546875" style="5"/>
    <col min="14597" max="14597" width="0.7109375" style="5" customWidth="1"/>
    <col min="14598" max="14598" width="11" style="5" customWidth="1"/>
    <col min="14599" max="14599" width="8.85546875" style="5"/>
    <col min="14600" max="14600" width="0.7109375" style="5" customWidth="1"/>
    <col min="14601" max="14601" width="11" style="5" customWidth="1"/>
    <col min="14602" max="14831" width="8.85546875" style="5"/>
    <col min="14832" max="14832" width="21.140625" style="5" customWidth="1"/>
    <col min="14833" max="14833" width="11" style="5" customWidth="1"/>
    <col min="14834" max="14834" width="9" style="5" customWidth="1"/>
    <col min="14835" max="14835" width="0.7109375" style="5" customWidth="1"/>
    <col min="14836" max="14836" width="11" style="5" customWidth="1"/>
    <col min="14837" max="14837" width="8.85546875" style="5"/>
    <col min="14838" max="14838" width="0.7109375" style="5" customWidth="1"/>
    <col min="14839" max="14839" width="11" style="5" customWidth="1"/>
    <col min="14840" max="14840" width="8.85546875" style="5"/>
    <col min="14841" max="14841" width="0.7109375" style="5" customWidth="1"/>
    <col min="14842" max="14842" width="16.42578125" style="5" customWidth="1"/>
    <col min="14843" max="14843" width="8.85546875" style="5"/>
    <col min="14844" max="14844" width="0.7109375" style="5" customWidth="1"/>
    <col min="14845" max="14845" width="11" style="5" customWidth="1"/>
    <col min="14846" max="14846" width="8.85546875" style="5"/>
    <col min="14847" max="14847" width="0.7109375" style="5" customWidth="1"/>
    <col min="14848" max="14848" width="11" style="5" customWidth="1"/>
    <col min="14849" max="14849" width="8.85546875" style="5"/>
    <col min="14850" max="14850" width="0.7109375" style="5" customWidth="1"/>
    <col min="14851" max="14851" width="11" style="5" customWidth="1"/>
    <col min="14852" max="14852" width="8.85546875" style="5"/>
    <col min="14853" max="14853" width="0.7109375" style="5" customWidth="1"/>
    <col min="14854" max="14854" width="11" style="5" customWidth="1"/>
    <col min="14855" max="14855" width="8.85546875" style="5"/>
    <col min="14856" max="14856" width="0.7109375" style="5" customWidth="1"/>
    <col min="14857" max="14857" width="11" style="5" customWidth="1"/>
    <col min="14858" max="15087" width="8.85546875" style="5"/>
    <col min="15088" max="15088" width="21.140625" style="5" customWidth="1"/>
    <col min="15089" max="15089" width="11" style="5" customWidth="1"/>
    <col min="15090" max="15090" width="9" style="5" customWidth="1"/>
    <col min="15091" max="15091" width="0.7109375" style="5" customWidth="1"/>
    <col min="15092" max="15092" width="11" style="5" customWidth="1"/>
    <col min="15093" max="15093" width="8.85546875" style="5"/>
    <col min="15094" max="15094" width="0.7109375" style="5" customWidth="1"/>
    <col min="15095" max="15095" width="11" style="5" customWidth="1"/>
    <col min="15096" max="15096" width="8.85546875" style="5"/>
    <col min="15097" max="15097" width="0.7109375" style="5" customWidth="1"/>
    <col min="15098" max="15098" width="16.42578125" style="5" customWidth="1"/>
    <col min="15099" max="15099" width="8.85546875" style="5"/>
    <col min="15100" max="15100" width="0.7109375" style="5" customWidth="1"/>
    <col min="15101" max="15101" width="11" style="5" customWidth="1"/>
    <col min="15102" max="15102" width="8.85546875" style="5"/>
    <col min="15103" max="15103" width="0.7109375" style="5" customWidth="1"/>
    <col min="15104" max="15104" width="11" style="5" customWidth="1"/>
    <col min="15105" max="15105" width="8.85546875" style="5"/>
    <col min="15106" max="15106" width="0.7109375" style="5" customWidth="1"/>
    <col min="15107" max="15107" width="11" style="5" customWidth="1"/>
    <col min="15108" max="15108" width="8.85546875" style="5"/>
    <col min="15109" max="15109" width="0.7109375" style="5" customWidth="1"/>
    <col min="15110" max="15110" width="11" style="5" customWidth="1"/>
    <col min="15111" max="15111" width="8.85546875" style="5"/>
    <col min="15112" max="15112" width="0.7109375" style="5" customWidth="1"/>
    <col min="15113" max="15113" width="11" style="5" customWidth="1"/>
    <col min="15114" max="15343" width="8.85546875" style="5"/>
    <col min="15344" max="15344" width="21.140625" style="5" customWidth="1"/>
    <col min="15345" max="15345" width="11" style="5" customWidth="1"/>
    <col min="15346" max="15346" width="9" style="5" customWidth="1"/>
    <col min="15347" max="15347" width="0.7109375" style="5" customWidth="1"/>
    <col min="15348" max="15348" width="11" style="5" customWidth="1"/>
    <col min="15349" max="15349" width="8.85546875" style="5"/>
    <col min="15350" max="15350" width="0.7109375" style="5" customWidth="1"/>
    <col min="15351" max="15351" width="11" style="5" customWidth="1"/>
    <col min="15352" max="15352" width="8.85546875" style="5"/>
    <col min="15353" max="15353" width="0.7109375" style="5" customWidth="1"/>
    <col min="15354" max="15354" width="16.42578125" style="5" customWidth="1"/>
    <col min="15355" max="15355" width="8.85546875" style="5"/>
    <col min="15356" max="15356" width="0.7109375" style="5" customWidth="1"/>
    <col min="15357" max="15357" width="11" style="5" customWidth="1"/>
    <col min="15358" max="15358" width="8.85546875" style="5"/>
    <col min="15359" max="15359" width="0.7109375" style="5" customWidth="1"/>
    <col min="15360" max="15360" width="11" style="5" customWidth="1"/>
    <col min="15361" max="15361" width="8.85546875" style="5"/>
    <col min="15362" max="15362" width="0.7109375" style="5" customWidth="1"/>
    <col min="15363" max="15363" width="11" style="5" customWidth="1"/>
    <col min="15364" max="15364" width="8.85546875" style="5"/>
    <col min="15365" max="15365" width="0.7109375" style="5" customWidth="1"/>
    <col min="15366" max="15366" width="11" style="5" customWidth="1"/>
    <col min="15367" max="15367" width="8.85546875" style="5"/>
    <col min="15368" max="15368" width="0.7109375" style="5" customWidth="1"/>
    <col min="15369" max="15369" width="11" style="5" customWidth="1"/>
    <col min="15370" max="15599" width="8.85546875" style="5"/>
    <col min="15600" max="15600" width="21.140625" style="5" customWidth="1"/>
    <col min="15601" max="15601" width="11" style="5" customWidth="1"/>
    <col min="15602" max="15602" width="9" style="5" customWidth="1"/>
    <col min="15603" max="15603" width="0.7109375" style="5" customWidth="1"/>
    <col min="15604" max="15604" width="11" style="5" customWidth="1"/>
    <col min="15605" max="15605" width="8.85546875" style="5"/>
    <col min="15606" max="15606" width="0.7109375" style="5" customWidth="1"/>
    <col min="15607" max="15607" width="11" style="5" customWidth="1"/>
    <col min="15608" max="15608" width="8.85546875" style="5"/>
    <col min="15609" max="15609" width="0.7109375" style="5" customWidth="1"/>
    <col min="15610" max="15610" width="16.42578125" style="5" customWidth="1"/>
    <col min="15611" max="15611" width="8.85546875" style="5"/>
    <col min="15612" max="15612" width="0.7109375" style="5" customWidth="1"/>
    <col min="15613" max="15613" width="11" style="5" customWidth="1"/>
    <col min="15614" max="15614" width="8.85546875" style="5"/>
    <col min="15615" max="15615" width="0.7109375" style="5" customWidth="1"/>
    <col min="15616" max="15616" width="11" style="5" customWidth="1"/>
    <col min="15617" max="15617" width="8.85546875" style="5"/>
    <col min="15618" max="15618" width="0.7109375" style="5" customWidth="1"/>
    <col min="15619" max="15619" width="11" style="5" customWidth="1"/>
    <col min="15620" max="15620" width="8.85546875" style="5"/>
    <col min="15621" max="15621" width="0.7109375" style="5" customWidth="1"/>
    <col min="15622" max="15622" width="11" style="5" customWidth="1"/>
    <col min="15623" max="15623" width="8.85546875" style="5"/>
    <col min="15624" max="15624" width="0.7109375" style="5" customWidth="1"/>
    <col min="15625" max="15625" width="11" style="5" customWidth="1"/>
    <col min="15626" max="15855" width="8.85546875" style="5"/>
    <col min="15856" max="15856" width="21.140625" style="5" customWidth="1"/>
    <col min="15857" max="15857" width="11" style="5" customWidth="1"/>
    <col min="15858" max="15858" width="9" style="5" customWidth="1"/>
    <col min="15859" max="15859" width="0.7109375" style="5" customWidth="1"/>
    <col min="15860" max="15860" width="11" style="5" customWidth="1"/>
    <col min="15861" max="15861" width="8.85546875" style="5"/>
    <col min="15862" max="15862" width="0.7109375" style="5" customWidth="1"/>
    <col min="15863" max="15863" width="11" style="5" customWidth="1"/>
    <col min="15864" max="15864" width="8.85546875" style="5"/>
    <col min="15865" max="15865" width="0.7109375" style="5" customWidth="1"/>
    <col min="15866" max="15866" width="16.42578125" style="5" customWidth="1"/>
    <col min="15867" max="15867" width="8.85546875" style="5"/>
    <col min="15868" max="15868" width="0.7109375" style="5" customWidth="1"/>
    <col min="15869" max="15869" width="11" style="5" customWidth="1"/>
    <col min="15870" max="15870" width="8.85546875" style="5"/>
    <col min="15871" max="15871" width="0.7109375" style="5" customWidth="1"/>
    <col min="15872" max="15872" width="11" style="5" customWidth="1"/>
    <col min="15873" max="15873" width="8.85546875" style="5"/>
    <col min="15874" max="15874" width="0.7109375" style="5" customWidth="1"/>
    <col min="15875" max="15875" width="11" style="5" customWidth="1"/>
    <col min="15876" max="15876" width="8.85546875" style="5"/>
    <col min="15877" max="15877" width="0.7109375" style="5" customWidth="1"/>
    <col min="15878" max="15878" width="11" style="5" customWidth="1"/>
    <col min="15879" max="15879" width="8.85546875" style="5"/>
    <col min="15880" max="15880" width="0.7109375" style="5" customWidth="1"/>
    <col min="15881" max="15881" width="11" style="5" customWidth="1"/>
    <col min="15882" max="16111" width="8.85546875" style="5"/>
    <col min="16112" max="16112" width="21.140625" style="5" customWidth="1"/>
    <col min="16113" max="16113" width="11" style="5" customWidth="1"/>
    <col min="16114" max="16114" width="9" style="5" customWidth="1"/>
    <col min="16115" max="16115" width="0.7109375" style="5" customWidth="1"/>
    <col min="16116" max="16116" width="11" style="5" customWidth="1"/>
    <col min="16117" max="16117" width="8.85546875" style="5"/>
    <col min="16118" max="16118" width="0.7109375" style="5" customWidth="1"/>
    <col min="16119" max="16119" width="11" style="5" customWidth="1"/>
    <col min="16120" max="16120" width="8.85546875" style="5"/>
    <col min="16121" max="16121" width="0.7109375" style="5" customWidth="1"/>
    <col min="16122" max="16122" width="16.42578125" style="5" customWidth="1"/>
    <col min="16123" max="16123" width="8.85546875" style="5"/>
    <col min="16124" max="16124" width="0.7109375" style="5" customWidth="1"/>
    <col min="16125" max="16125" width="11" style="5" customWidth="1"/>
    <col min="16126" max="16126" width="8.85546875" style="5"/>
    <col min="16127" max="16127" width="0.7109375" style="5" customWidth="1"/>
    <col min="16128" max="16128" width="11" style="5" customWidth="1"/>
    <col min="16129" max="16129" width="8.85546875" style="5"/>
    <col min="16130" max="16130" width="0.7109375" style="5" customWidth="1"/>
    <col min="16131" max="16131" width="11" style="5" customWidth="1"/>
    <col min="16132" max="16132" width="8.85546875" style="5"/>
    <col min="16133" max="16133" width="0.7109375" style="5" customWidth="1"/>
    <col min="16134" max="16134" width="11" style="5" customWidth="1"/>
    <col min="16135" max="16135" width="8.85546875" style="5"/>
    <col min="16136" max="16136" width="0.7109375" style="5" customWidth="1"/>
    <col min="16137" max="16137" width="11" style="5" customWidth="1"/>
    <col min="16138" max="16367" width="8.85546875" style="5"/>
    <col min="16368" max="16384" width="8.85546875" style="5" customWidth="1"/>
  </cols>
  <sheetData>
    <row r="1" spans="1:32" ht="18.75" x14ac:dyDescent="0.2">
      <c r="A1" s="9" t="s">
        <v>52</v>
      </c>
      <c r="B1" s="4"/>
      <c r="C1" s="4"/>
      <c r="D1" s="4"/>
      <c r="E1" s="4"/>
      <c r="F1" s="4"/>
    </row>
    <row r="2" spans="1:32" ht="15.75" customHeight="1" x14ac:dyDescent="0.2">
      <c r="A2" s="3"/>
      <c r="B2" s="4"/>
      <c r="C2" s="4"/>
      <c r="D2" s="4"/>
      <c r="E2" s="4"/>
      <c r="F2" s="4"/>
    </row>
    <row r="3" spans="1:32" ht="15.75" customHeight="1" x14ac:dyDescent="0.2">
      <c r="A3" s="6"/>
      <c r="B3" s="8" t="s">
        <v>5</v>
      </c>
      <c r="C3" s="8" t="s">
        <v>6</v>
      </c>
      <c r="D3" s="8" t="s">
        <v>7</v>
      </c>
      <c r="E3" s="8" t="s">
        <v>0</v>
      </c>
      <c r="F3" s="8" t="s">
        <v>1</v>
      </c>
      <c r="H3" s="58" t="s">
        <v>85</v>
      </c>
      <c r="I3" s="64"/>
      <c r="J3" s="64"/>
      <c r="K3" s="12"/>
      <c r="L3" s="12"/>
      <c r="M3" s="12"/>
      <c r="N3" s="12"/>
      <c r="O3" s="12"/>
      <c r="P3" s="12"/>
      <c r="Q3" s="12"/>
      <c r="S3" s="12"/>
      <c r="T3" s="58" t="s">
        <v>83</v>
      </c>
      <c r="U3" s="64"/>
      <c r="V3" s="12"/>
      <c r="W3" s="12"/>
      <c r="X3" s="12"/>
      <c r="Y3" s="12"/>
      <c r="AE3" s="12"/>
    </row>
    <row r="4" spans="1:32" ht="15.75" customHeight="1" x14ac:dyDescent="0.2">
      <c r="A4" s="1" t="s">
        <v>2</v>
      </c>
      <c r="B4" s="7">
        <v>0</v>
      </c>
      <c r="C4" s="7">
        <v>0</v>
      </c>
      <c r="D4" s="7">
        <v>0</v>
      </c>
      <c r="E4" s="7">
        <v>0</v>
      </c>
      <c r="F4" s="7">
        <v>0</v>
      </c>
      <c r="H4" s="58" t="s">
        <v>19</v>
      </c>
      <c r="I4" s="64"/>
      <c r="J4" s="64"/>
      <c r="K4" s="12"/>
      <c r="L4" s="12"/>
      <c r="M4" s="12"/>
      <c r="N4" s="12"/>
      <c r="O4" s="12"/>
      <c r="P4" s="12"/>
      <c r="Q4" s="18"/>
      <c r="R4" s="14" t="s">
        <v>22</v>
      </c>
      <c r="S4" s="14"/>
      <c r="T4" s="14"/>
      <c r="U4" s="14"/>
      <c r="V4" s="14"/>
      <c r="W4" s="14"/>
      <c r="X4" s="14"/>
      <c r="Y4" s="14"/>
      <c r="AE4" s="12"/>
    </row>
    <row r="5" spans="1:32" ht="15.75" customHeight="1" x14ac:dyDescent="0.2">
      <c r="A5" s="2" t="s">
        <v>48</v>
      </c>
      <c r="B5" s="11">
        <v>27.36</v>
      </c>
      <c r="C5" s="11"/>
      <c r="D5" s="11">
        <v>29.4</v>
      </c>
      <c r="E5" s="11">
        <v>24.9</v>
      </c>
      <c r="F5" s="11">
        <v>54.74</v>
      </c>
      <c r="H5" s="64" t="s">
        <v>9</v>
      </c>
      <c r="I5" s="58" t="s">
        <v>48</v>
      </c>
      <c r="J5" s="65">
        <f>B5</f>
        <v>27.36</v>
      </c>
      <c r="K5" s="19"/>
      <c r="L5" s="12"/>
      <c r="M5" s="26"/>
      <c r="O5" s="19"/>
      <c r="P5" s="12"/>
      <c r="Q5" s="18"/>
      <c r="R5" s="2" t="s">
        <v>48</v>
      </c>
      <c r="S5" s="15">
        <f>E5</f>
        <v>24.9</v>
      </c>
      <c r="T5" s="33"/>
      <c r="U5" s="13"/>
      <c r="V5" s="19"/>
      <c r="W5" s="12"/>
      <c r="X5" s="33"/>
      <c r="Y5" s="13"/>
      <c r="AE5" s="12"/>
      <c r="AF5" s="12"/>
    </row>
    <row r="6" spans="1:32" ht="15.75" customHeight="1" x14ac:dyDescent="0.2">
      <c r="A6" s="2" t="s">
        <v>3</v>
      </c>
      <c r="B6" s="11">
        <v>27.13</v>
      </c>
      <c r="C6" s="11">
        <v>33.17</v>
      </c>
      <c r="D6" s="11">
        <v>26.16</v>
      </c>
      <c r="E6" s="11">
        <v>25.03</v>
      </c>
      <c r="F6" s="32">
        <v>52.98</v>
      </c>
      <c r="H6" s="64" t="s">
        <v>10</v>
      </c>
      <c r="I6" s="58" t="s">
        <v>49</v>
      </c>
      <c r="J6" s="65">
        <f>C8</f>
        <v>32.58</v>
      </c>
      <c r="K6" s="19"/>
      <c r="L6" s="12"/>
      <c r="M6" s="26"/>
      <c r="O6" s="19"/>
      <c r="P6" s="12"/>
      <c r="Q6" s="18"/>
      <c r="R6" s="2" t="s">
        <v>51</v>
      </c>
      <c r="S6" s="15">
        <f t="shared" ref="S6:S8" si="0">E6</f>
        <v>25.03</v>
      </c>
      <c r="T6" s="33"/>
      <c r="U6" s="13"/>
      <c r="V6" s="19"/>
      <c r="W6" s="12"/>
      <c r="X6" s="33"/>
      <c r="Y6" s="13"/>
      <c r="AE6" s="12"/>
      <c r="AF6" s="12"/>
    </row>
    <row r="7" spans="1:32" ht="15.75" customHeight="1" x14ac:dyDescent="0.2">
      <c r="A7" s="2" t="s">
        <v>15</v>
      </c>
      <c r="B7" s="11"/>
      <c r="C7" s="11">
        <v>36.21</v>
      </c>
      <c r="D7" s="32">
        <v>30.38</v>
      </c>
      <c r="E7" s="32">
        <v>25.81</v>
      </c>
      <c r="F7" s="32">
        <v>57.32</v>
      </c>
      <c r="H7" s="64" t="s">
        <v>11</v>
      </c>
      <c r="I7" s="58" t="s">
        <v>51</v>
      </c>
      <c r="J7" s="65">
        <f>D6</f>
        <v>26.16</v>
      </c>
      <c r="K7" s="19"/>
      <c r="L7" s="15"/>
      <c r="M7" s="26"/>
      <c r="O7" s="19"/>
      <c r="P7" s="15"/>
      <c r="Q7" s="18"/>
      <c r="R7" s="2" t="s">
        <v>15</v>
      </c>
      <c r="S7" s="15">
        <f t="shared" si="0"/>
        <v>25.81</v>
      </c>
      <c r="T7" s="33"/>
      <c r="U7" s="13"/>
      <c r="V7" s="19"/>
      <c r="W7" s="15"/>
      <c r="X7" s="33"/>
      <c r="Y7" s="13"/>
      <c r="AE7" s="12"/>
      <c r="AF7" s="15"/>
    </row>
    <row r="8" spans="1:32" ht="15.75" customHeight="1" x14ac:dyDescent="0.2">
      <c r="A8" s="2" t="s">
        <v>49</v>
      </c>
      <c r="B8" s="11">
        <v>31.45</v>
      </c>
      <c r="C8" s="11">
        <v>32.58</v>
      </c>
      <c r="D8" s="11">
        <v>29.85</v>
      </c>
      <c r="E8" s="11">
        <v>26.22</v>
      </c>
      <c r="F8" s="11">
        <v>56.91</v>
      </c>
      <c r="H8" s="64" t="s">
        <v>12</v>
      </c>
      <c r="I8" s="66" t="s">
        <v>15</v>
      </c>
      <c r="J8" s="67">
        <f>E7</f>
        <v>25.81</v>
      </c>
      <c r="K8" s="24"/>
      <c r="L8" s="25"/>
      <c r="M8" s="47"/>
      <c r="N8" s="49"/>
      <c r="O8" s="24"/>
      <c r="P8" s="25"/>
      <c r="Q8" s="18"/>
      <c r="R8" s="30" t="s">
        <v>49</v>
      </c>
      <c r="S8" s="31">
        <f t="shared" si="0"/>
        <v>26.22</v>
      </c>
      <c r="T8" s="34"/>
      <c r="U8" s="23"/>
      <c r="V8" s="24"/>
      <c r="W8" s="25"/>
      <c r="X8" s="34"/>
      <c r="Y8" s="23"/>
      <c r="AE8" s="21"/>
      <c r="AF8" s="25"/>
    </row>
    <row r="9" spans="1:32" ht="15.75" customHeight="1" x14ac:dyDescent="0.2">
      <c r="A9" s="2" t="s">
        <v>14</v>
      </c>
      <c r="B9" s="11">
        <v>31.45</v>
      </c>
      <c r="C9" s="32">
        <v>36.520000000000003</v>
      </c>
      <c r="D9" s="32">
        <v>28.02</v>
      </c>
      <c r="E9" s="32">
        <v>26.9</v>
      </c>
      <c r="F9" s="32">
        <v>58.6</v>
      </c>
      <c r="H9" s="64"/>
      <c r="I9" s="58" t="s">
        <v>30</v>
      </c>
      <c r="J9" s="55">
        <f>SUM(J5:J8)</f>
        <v>111.91</v>
      </c>
      <c r="K9" s="19"/>
      <c r="L9" s="15">
        <f>SUM(L5:L8)</f>
        <v>0</v>
      </c>
      <c r="M9" s="19"/>
      <c r="N9" s="13">
        <f>SUM(N5:N8)</f>
        <v>0</v>
      </c>
      <c r="O9" s="19"/>
      <c r="P9" s="15">
        <f>SUM(P5:P8)</f>
        <v>0</v>
      </c>
      <c r="Q9" s="18"/>
      <c r="R9" s="12" t="s">
        <v>30</v>
      </c>
      <c r="S9" s="13">
        <f>SUM(S5:S8)</f>
        <v>101.96</v>
      </c>
      <c r="T9" s="19"/>
      <c r="U9" s="15">
        <f>SUM(U5:U8)</f>
        <v>0</v>
      </c>
      <c r="V9" s="19"/>
      <c r="W9" s="15">
        <f>SUM(W5:W8)</f>
        <v>0</v>
      </c>
      <c r="X9" s="19"/>
      <c r="Y9" s="15">
        <f>SUM(Y5:Y8)</f>
        <v>0</v>
      </c>
      <c r="AE9" s="12"/>
      <c r="AF9" s="15"/>
    </row>
    <row r="10" spans="1:32" ht="15.75" customHeight="1" x14ac:dyDescent="0.2">
      <c r="A10" s="2" t="s">
        <v>8</v>
      </c>
      <c r="B10" s="11"/>
      <c r="C10" s="11"/>
      <c r="D10" s="11">
        <v>30.73</v>
      </c>
      <c r="E10" s="11">
        <v>27.1</v>
      </c>
      <c r="F10" s="32">
        <v>61.49</v>
      </c>
      <c r="H10" s="64"/>
      <c r="I10" s="58" t="s">
        <v>31</v>
      </c>
      <c r="J10" s="55">
        <f>J9-60</f>
        <v>51.91</v>
      </c>
      <c r="K10" s="19"/>
      <c r="L10" s="13">
        <f>L9-60</f>
        <v>-60</v>
      </c>
      <c r="M10" s="19"/>
      <c r="N10" s="13">
        <f>N9-120</f>
        <v>-120</v>
      </c>
      <c r="O10" s="19"/>
      <c r="P10" s="13">
        <f>P9-60</f>
        <v>-60</v>
      </c>
      <c r="Q10" s="18"/>
      <c r="R10" s="12" t="s">
        <v>31</v>
      </c>
      <c r="S10" s="13">
        <f>S9-60</f>
        <v>41.959999999999994</v>
      </c>
      <c r="T10" s="19"/>
      <c r="U10" s="13">
        <f>U9-60</f>
        <v>-60</v>
      </c>
      <c r="V10" s="19"/>
      <c r="W10" s="13">
        <f>W9-60</f>
        <v>-60</v>
      </c>
      <c r="X10" s="19"/>
      <c r="Y10" s="13">
        <f>Y9-60</f>
        <v>-60</v>
      </c>
      <c r="AE10" s="12"/>
      <c r="AF10" s="13"/>
    </row>
    <row r="11" spans="1:32" ht="15.75" customHeight="1" x14ac:dyDescent="0.2">
      <c r="A11" s="2" t="s">
        <v>46</v>
      </c>
      <c r="B11" s="11"/>
      <c r="C11" s="11">
        <v>37.35</v>
      </c>
      <c r="D11" s="11"/>
      <c r="E11" s="32">
        <v>27.4</v>
      </c>
      <c r="F11" s="32">
        <v>61.97</v>
      </c>
      <c r="H11" s="38" t="s">
        <v>18</v>
      </c>
      <c r="I11" s="39"/>
      <c r="J11" s="40"/>
      <c r="K11" s="41"/>
      <c r="L11" s="40"/>
      <c r="M11" s="41"/>
      <c r="N11" s="40"/>
      <c r="O11" s="41"/>
      <c r="P11" s="40"/>
      <c r="Q11" s="42"/>
      <c r="R11" s="38" t="s">
        <v>24</v>
      </c>
      <c r="S11" s="40"/>
      <c r="T11" s="87" t="s">
        <v>99</v>
      </c>
      <c r="U11" s="40"/>
      <c r="V11" s="41"/>
      <c r="W11" s="40"/>
      <c r="X11" s="41"/>
      <c r="Y11" s="40"/>
      <c r="AE11" s="12"/>
      <c r="AF11" s="13"/>
    </row>
    <row r="12" spans="1:32" ht="15.75" customHeight="1" x14ac:dyDescent="0.2">
      <c r="A12" s="2" t="s">
        <v>16</v>
      </c>
      <c r="B12" s="32">
        <v>33.479999999999997</v>
      </c>
      <c r="C12" s="11"/>
      <c r="D12" s="11"/>
      <c r="E12" s="32">
        <v>28.03</v>
      </c>
      <c r="F12" s="32">
        <v>66.56</v>
      </c>
      <c r="H12" s="12" t="s">
        <v>9</v>
      </c>
      <c r="I12" s="33" t="s">
        <v>28</v>
      </c>
      <c r="J12" s="13">
        <f>B13</f>
        <v>31.93</v>
      </c>
      <c r="K12" s="33" t="s">
        <v>14</v>
      </c>
      <c r="L12" s="13">
        <f>B9</f>
        <v>31.45</v>
      </c>
      <c r="M12" s="19" t="s">
        <v>80</v>
      </c>
      <c r="N12" s="54">
        <f>B15</f>
        <v>31.12</v>
      </c>
      <c r="O12" s="68" t="s">
        <v>16</v>
      </c>
      <c r="P12" s="55">
        <f>B12</f>
        <v>33.479999999999997</v>
      </c>
      <c r="Q12" s="18"/>
      <c r="R12" s="2" t="s">
        <v>14</v>
      </c>
      <c r="S12" s="13">
        <f>E9</f>
        <v>26.9</v>
      </c>
      <c r="T12" s="68" t="s">
        <v>8</v>
      </c>
      <c r="U12" s="55">
        <f>E10</f>
        <v>27.1</v>
      </c>
      <c r="V12" s="69"/>
      <c r="W12" s="54"/>
      <c r="X12" s="68" t="s">
        <v>28</v>
      </c>
      <c r="Y12" s="55">
        <f>E13</f>
        <v>28.09</v>
      </c>
      <c r="AE12" s="12"/>
      <c r="AF12" s="13"/>
    </row>
    <row r="13" spans="1:32" ht="15.75" customHeight="1" x14ac:dyDescent="0.2">
      <c r="A13" s="2" t="s">
        <v>28</v>
      </c>
      <c r="B13" s="11">
        <v>31.93</v>
      </c>
      <c r="C13" s="11"/>
      <c r="D13" s="32">
        <v>29.19</v>
      </c>
      <c r="E13" s="32">
        <v>28.09</v>
      </c>
      <c r="F13" s="11">
        <v>64.459999999999994</v>
      </c>
      <c r="H13" s="12" t="s">
        <v>10</v>
      </c>
      <c r="I13" s="33" t="s">
        <v>23</v>
      </c>
      <c r="J13" s="13">
        <f>C14</f>
        <v>34.869999999999997</v>
      </c>
      <c r="K13" s="33" t="s">
        <v>23</v>
      </c>
      <c r="L13" s="13">
        <f>C14</f>
        <v>34.869999999999997</v>
      </c>
      <c r="M13" s="19" t="s">
        <v>23</v>
      </c>
      <c r="N13" s="13">
        <f>C14</f>
        <v>34.869999999999997</v>
      </c>
      <c r="O13" s="68" t="s">
        <v>23</v>
      </c>
      <c r="P13" s="55">
        <f>C14</f>
        <v>34.869999999999997</v>
      </c>
      <c r="Q13" s="18"/>
      <c r="R13" s="2" t="s">
        <v>8</v>
      </c>
      <c r="S13" s="13">
        <f t="shared" ref="S13:S14" si="1">E10</f>
        <v>27.1</v>
      </c>
      <c r="T13" s="68" t="s">
        <v>46</v>
      </c>
      <c r="U13" s="55">
        <f t="shared" ref="U13" si="2">E11</f>
        <v>27.4</v>
      </c>
      <c r="V13" s="69"/>
      <c r="W13" s="54"/>
      <c r="X13" s="68" t="s">
        <v>23</v>
      </c>
      <c r="Y13" s="55">
        <f>E14</f>
        <v>28.15</v>
      </c>
      <c r="AE13" s="12"/>
      <c r="AF13" s="13"/>
    </row>
    <row r="14" spans="1:32" ht="15.75" customHeight="1" x14ac:dyDescent="0.2">
      <c r="A14" s="2" t="s">
        <v>23</v>
      </c>
      <c r="B14" s="11"/>
      <c r="C14" s="32">
        <v>34.869999999999997</v>
      </c>
      <c r="D14" s="32">
        <v>30.37</v>
      </c>
      <c r="E14" s="11">
        <v>28.15</v>
      </c>
      <c r="F14" s="32">
        <v>64.92</v>
      </c>
      <c r="H14" s="12" t="s">
        <v>11</v>
      </c>
      <c r="I14" s="33" t="s">
        <v>14</v>
      </c>
      <c r="J14" s="13">
        <f>D9</f>
        <v>28.02</v>
      </c>
      <c r="K14" s="33" t="s">
        <v>28</v>
      </c>
      <c r="L14" s="13">
        <f>D13</f>
        <v>29.19</v>
      </c>
      <c r="M14" s="19" t="s">
        <v>28</v>
      </c>
      <c r="N14" s="13">
        <f>D13</f>
        <v>29.19</v>
      </c>
      <c r="O14" s="68" t="s">
        <v>97</v>
      </c>
      <c r="P14" s="55">
        <f>D17</f>
        <v>31.13</v>
      </c>
      <c r="Q14" s="18"/>
      <c r="R14" s="2" t="s">
        <v>46</v>
      </c>
      <c r="S14" s="13">
        <f t="shared" si="1"/>
        <v>27.4</v>
      </c>
      <c r="T14" s="68" t="s">
        <v>16</v>
      </c>
      <c r="U14" s="55">
        <f>E12</f>
        <v>28.03</v>
      </c>
      <c r="V14" s="69"/>
      <c r="W14" s="54"/>
      <c r="X14" s="68" t="s">
        <v>81</v>
      </c>
      <c r="Y14" s="55">
        <f>E16</f>
        <v>29</v>
      </c>
      <c r="AE14" s="12"/>
      <c r="AF14" s="13"/>
    </row>
    <row r="15" spans="1:32" ht="15.75" customHeight="1" x14ac:dyDescent="0.2">
      <c r="A15" s="2" t="s">
        <v>80</v>
      </c>
      <c r="B15" s="53">
        <v>31.12</v>
      </c>
      <c r="C15" s="53">
        <v>34.72</v>
      </c>
      <c r="D15" s="11">
        <v>27.96</v>
      </c>
      <c r="E15" s="11">
        <v>28.21</v>
      </c>
      <c r="F15" s="11">
        <v>59.98</v>
      </c>
      <c r="H15" s="21" t="s">
        <v>12</v>
      </c>
      <c r="I15" s="34" t="s">
        <v>8</v>
      </c>
      <c r="J15" s="22">
        <f>E10</f>
        <v>27.1</v>
      </c>
      <c r="K15" s="34" t="s">
        <v>8</v>
      </c>
      <c r="L15" s="22">
        <f>E10</f>
        <v>27.1</v>
      </c>
      <c r="M15" s="24" t="s">
        <v>46</v>
      </c>
      <c r="N15" s="22">
        <f>E11</f>
        <v>27.4</v>
      </c>
      <c r="O15" s="70" t="s">
        <v>46</v>
      </c>
      <c r="P15" s="71">
        <f>E11</f>
        <v>27.4</v>
      </c>
      <c r="Q15" s="18"/>
      <c r="R15" s="30" t="s">
        <v>16</v>
      </c>
      <c r="S15" s="22">
        <f>E12</f>
        <v>28.03</v>
      </c>
      <c r="T15" s="70" t="s">
        <v>98</v>
      </c>
      <c r="U15" s="71">
        <f>E15</f>
        <v>28.21</v>
      </c>
      <c r="V15" s="72"/>
      <c r="W15" s="73"/>
      <c r="X15" s="70" t="s">
        <v>82</v>
      </c>
      <c r="Y15" s="71">
        <f>E17</f>
        <v>29.88</v>
      </c>
      <c r="AE15" s="21"/>
      <c r="AF15" s="22"/>
    </row>
    <row r="16" spans="1:32" ht="15.75" customHeight="1" x14ac:dyDescent="0.2">
      <c r="A16" s="2" t="s">
        <v>81</v>
      </c>
      <c r="B16" s="11"/>
      <c r="C16" s="11"/>
      <c r="D16" s="11"/>
      <c r="E16" s="11">
        <v>29</v>
      </c>
      <c r="F16" s="11">
        <v>67.59</v>
      </c>
      <c r="H16" s="12"/>
      <c r="I16" s="19" t="s">
        <v>30</v>
      </c>
      <c r="J16" s="13">
        <f>SUM(J12:J15)</f>
        <v>121.91999999999999</v>
      </c>
      <c r="K16" s="19" t="s">
        <v>30</v>
      </c>
      <c r="L16" s="13">
        <f>SUM(L12:L15)</f>
        <v>122.60999999999999</v>
      </c>
      <c r="M16" s="19" t="s">
        <v>30</v>
      </c>
      <c r="N16" s="13">
        <f>SUM(N12:N15)</f>
        <v>122.57999999999998</v>
      </c>
      <c r="O16" s="68" t="s">
        <v>30</v>
      </c>
      <c r="P16" s="55">
        <f>SUM(P12:P15)</f>
        <v>126.88</v>
      </c>
      <c r="Q16" s="18"/>
      <c r="R16" s="12" t="s">
        <v>30</v>
      </c>
      <c r="S16" s="13">
        <f>SUM(S12:S15)</f>
        <v>109.43</v>
      </c>
      <c r="T16" s="68" t="s">
        <v>30</v>
      </c>
      <c r="U16" s="55">
        <f>SUM(U12:U15)</f>
        <v>110.74000000000001</v>
      </c>
      <c r="V16" s="69" t="s">
        <v>30</v>
      </c>
      <c r="W16" s="54">
        <f>SUM(W12:W15)</f>
        <v>0</v>
      </c>
      <c r="X16" s="68" t="s">
        <v>30</v>
      </c>
      <c r="Y16" s="55">
        <f>SUM(Y12:Y15)</f>
        <v>115.11999999999999</v>
      </c>
      <c r="AE16" s="12"/>
      <c r="AF16" s="13"/>
    </row>
    <row r="17" spans="1:32" ht="15.75" customHeight="1" x14ac:dyDescent="0.2">
      <c r="A17" s="2" t="s">
        <v>82</v>
      </c>
      <c r="B17" s="11"/>
      <c r="C17" s="11"/>
      <c r="D17" s="32">
        <v>31.13</v>
      </c>
      <c r="E17" s="11">
        <v>29.88</v>
      </c>
      <c r="F17" s="32">
        <v>65.56</v>
      </c>
      <c r="H17" s="12"/>
      <c r="I17" s="19" t="s">
        <v>47</v>
      </c>
      <c r="J17" s="13">
        <f>J16-120</f>
        <v>1.9199999999999875</v>
      </c>
      <c r="K17" s="19" t="s">
        <v>47</v>
      </c>
      <c r="L17" s="13">
        <f>L16-120</f>
        <v>2.6099999999999852</v>
      </c>
      <c r="M17" s="19" t="s">
        <v>47</v>
      </c>
      <c r="N17" s="13">
        <f>N16-120</f>
        <v>2.5799999999999841</v>
      </c>
      <c r="O17" s="68" t="s">
        <v>47</v>
      </c>
      <c r="P17" s="55">
        <f>P16-120</f>
        <v>6.8799999999999955</v>
      </c>
      <c r="Q17" s="18"/>
      <c r="R17" s="19" t="s">
        <v>31</v>
      </c>
      <c r="S17" s="13">
        <f>S16-60</f>
        <v>49.430000000000007</v>
      </c>
      <c r="T17" s="68" t="s">
        <v>31</v>
      </c>
      <c r="U17" s="55">
        <f>U16-60</f>
        <v>50.740000000000009</v>
      </c>
      <c r="V17" s="69" t="s">
        <v>31</v>
      </c>
      <c r="W17" s="54">
        <f>W16-60</f>
        <v>-60</v>
      </c>
      <c r="X17" s="68" t="s">
        <v>31</v>
      </c>
      <c r="Y17" s="55">
        <f>Y16-60</f>
        <v>55.11999999999999</v>
      </c>
      <c r="AE17" s="12"/>
      <c r="AF17" s="13"/>
    </row>
    <row r="18" spans="1:32" ht="15.75" customHeight="1" x14ac:dyDescent="0.2">
      <c r="A18" s="2" t="s">
        <v>50</v>
      </c>
      <c r="B18" s="11">
        <v>34.479999999999997</v>
      </c>
      <c r="C18" s="11"/>
      <c r="D18" s="11"/>
      <c r="E18" s="11"/>
      <c r="F18" s="11"/>
      <c r="AE18" s="12"/>
    </row>
    <row r="19" spans="1:32" ht="15.75" customHeight="1" x14ac:dyDescent="0.2">
      <c r="B19" s="1" t="s">
        <v>54</v>
      </c>
      <c r="AE19" s="12"/>
    </row>
    <row r="20" spans="1:32" ht="15.75" customHeight="1" x14ac:dyDescent="0.2">
      <c r="A20" s="35"/>
      <c r="B20" s="35"/>
      <c r="C20" s="35"/>
      <c r="D20" s="35"/>
      <c r="E20" s="35"/>
      <c r="F20" s="35"/>
      <c r="G20" s="35"/>
      <c r="H20" s="18"/>
      <c r="I20" s="18"/>
      <c r="J20" s="36"/>
      <c r="K20" s="18"/>
      <c r="L20" s="37"/>
      <c r="M20" s="18"/>
      <c r="N20" s="37"/>
      <c r="O20" s="18"/>
      <c r="P20" s="37"/>
      <c r="Q20" s="18"/>
      <c r="R20" s="18"/>
      <c r="S20" s="36"/>
      <c r="T20" s="18"/>
      <c r="U20" s="37"/>
      <c r="V20" s="18"/>
      <c r="W20" s="37"/>
      <c r="X20" s="18"/>
      <c r="Y20" s="37"/>
      <c r="AE20" s="12"/>
    </row>
    <row r="21" spans="1:32" ht="15.75" customHeight="1" x14ac:dyDescent="0.2">
      <c r="H21" s="12"/>
      <c r="I21" s="12"/>
      <c r="J21" s="27"/>
      <c r="K21" s="12"/>
      <c r="L21" s="13"/>
      <c r="M21" s="12"/>
      <c r="N21" s="13"/>
      <c r="O21" s="12"/>
      <c r="P21" s="13"/>
      <c r="Q21" s="12"/>
      <c r="R21" s="12"/>
      <c r="S21" s="27"/>
      <c r="T21" s="12"/>
      <c r="U21" s="13"/>
      <c r="V21" s="12"/>
      <c r="W21" s="13"/>
      <c r="X21" s="12"/>
      <c r="Y21" s="13"/>
      <c r="AE21" s="12"/>
    </row>
    <row r="22" spans="1:32" ht="15.75" customHeight="1" x14ac:dyDescent="0.2">
      <c r="H22" s="58" t="s">
        <v>90</v>
      </c>
      <c r="I22" s="64"/>
      <c r="J22" s="80"/>
      <c r="K22" s="12"/>
      <c r="L22" s="13"/>
      <c r="M22" s="12"/>
      <c r="N22" s="13"/>
      <c r="O22" s="12"/>
      <c r="P22" s="13"/>
      <c r="Q22" s="12"/>
      <c r="R22" s="58" t="s">
        <v>91</v>
      </c>
      <c r="S22" s="80"/>
      <c r="T22" s="64"/>
      <c r="U22" s="13"/>
      <c r="V22" s="12"/>
      <c r="W22" s="13"/>
      <c r="X22" s="12"/>
      <c r="Y22" s="13"/>
      <c r="AE22" s="12"/>
    </row>
    <row r="23" spans="1:32" ht="15.75" customHeight="1" x14ac:dyDescent="0.2">
      <c r="A23" s="1" t="s">
        <v>4</v>
      </c>
      <c r="B23" s="11">
        <v>0</v>
      </c>
      <c r="C23" s="7"/>
      <c r="D23" s="7">
        <v>0</v>
      </c>
      <c r="E23" s="7">
        <v>0</v>
      </c>
      <c r="F23" s="7">
        <v>0</v>
      </c>
      <c r="H23" s="58" t="s">
        <v>19</v>
      </c>
      <c r="I23" s="64"/>
      <c r="J23" s="64"/>
      <c r="K23" s="12"/>
      <c r="L23" s="13"/>
      <c r="M23" s="12"/>
      <c r="N23" s="13"/>
      <c r="O23" s="12"/>
      <c r="P23" s="13"/>
      <c r="Q23" s="18"/>
      <c r="R23" s="58" t="s">
        <v>22</v>
      </c>
      <c r="S23" s="64"/>
      <c r="T23" s="12"/>
      <c r="U23" s="13"/>
      <c r="V23" s="12"/>
      <c r="W23" s="13"/>
      <c r="X23" s="12"/>
      <c r="Y23" s="13"/>
      <c r="AE23" s="12"/>
    </row>
    <row r="24" spans="1:32" ht="15.75" customHeight="1" x14ac:dyDescent="0.2">
      <c r="A24" s="2" t="s">
        <v>13</v>
      </c>
      <c r="B24" s="11">
        <v>25.17</v>
      </c>
      <c r="C24" s="32">
        <v>27.15</v>
      </c>
      <c r="D24" s="32">
        <v>23.61</v>
      </c>
      <c r="E24" s="10">
        <v>21.43</v>
      </c>
      <c r="F24" s="10">
        <v>47.16</v>
      </c>
      <c r="H24" s="64" t="s">
        <v>9</v>
      </c>
      <c r="I24" s="58" t="s">
        <v>33</v>
      </c>
      <c r="J24" s="65">
        <f>B31</f>
        <v>28.11</v>
      </c>
      <c r="K24" s="33" t="s">
        <v>21</v>
      </c>
      <c r="L24" s="13">
        <f>B26</f>
        <v>26.11</v>
      </c>
      <c r="M24" s="33" t="s">
        <v>21</v>
      </c>
      <c r="N24" s="13">
        <f>B26</f>
        <v>26.11</v>
      </c>
      <c r="O24" s="33" t="s">
        <v>13</v>
      </c>
      <c r="P24" s="13">
        <f>B24</f>
        <v>25.17</v>
      </c>
      <c r="Q24" s="18"/>
      <c r="R24" s="59" t="s">
        <v>13</v>
      </c>
      <c r="S24" s="65">
        <f>E24</f>
        <v>21.43</v>
      </c>
      <c r="T24" s="19"/>
      <c r="U24" s="13"/>
      <c r="V24" s="19"/>
      <c r="W24" s="13"/>
      <c r="X24" s="19"/>
      <c r="Y24" s="13"/>
      <c r="AE24" s="12"/>
    </row>
    <row r="25" spans="1:32" ht="15.75" customHeight="1" x14ac:dyDescent="0.2">
      <c r="A25" s="2" t="s">
        <v>20</v>
      </c>
      <c r="B25" s="11"/>
      <c r="C25" s="11"/>
      <c r="D25" s="10">
        <v>28.07</v>
      </c>
      <c r="E25" s="32">
        <v>22.52</v>
      </c>
      <c r="F25" s="32">
        <v>52.22</v>
      </c>
      <c r="H25" s="64" t="s">
        <v>10</v>
      </c>
      <c r="I25" s="59" t="s">
        <v>13</v>
      </c>
      <c r="J25" s="65">
        <f>C24</f>
        <v>27.15</v>
      </c>
      <c r="K25" s="33" t="s">
        <v>13</v>
      </c>
      <c r="L25" s="13">
        <f>C24</f>
        <v>27.15</v>
      </c>
      <c r="M25" s="33" t="s">
        <v>26</v>
      </c>
      <c r="N25" s="13">
        <f>C29</f>
        <v>30.87</v>
      </c>
      <c r="O25" s="33" t="s">
        <v>26</v>
      </c>
      <c r="P25" s="13">
        <f>B32</f>
        <v>30.28</v>
      </c>
      <c r="Q25" s="18"/>
      <c r="R25" s="59" t="s">
        <v>20</v>
      </c>
      <c r="S25" s="65">
        <f t="shared" ref="S25:S27" si="3">E25</f>
        <v>22.52</v>
      </c>
      <c r="T25" s="19"/>
      <c r="U25" s="13"/>
      <c r="V25" s="19"/>
      <c r="W25" s="13"/>
      <c r="X25" s="19"/>
      <c r="Y25" s="13"/>
      <c r="AE25" s="12"/>
    </row>
    <row r="26" spans="1:32" ht="15.75" customHeight="1" x14ac:dyDescent="0.2">
      <c r="A26" s="2" t="s">
        <v>21</v>
      </c>
      <c r="B26" s="11">
        <v>26.11</v>
      </c>
      <c r="C26" s="11"/>
      <c r="D26" s="10">
        <v>24.39</v>
      </c>
      <c r="E26" s="10">
        <v>23.36</v>
      </c>
      <c r="F26" s="10">
        <v>52.21</v>
      </c>
      <c r="H26" s="64" t="s">
        <v>11</v>
      </c>
      <c r="I26" s="59" t="s">
        <v>21</v>
      </c>
      <c r="J26" s="65">
        <f>D26</f>
        <v>24.39</v>
      </c>
      <c r="K26" s="33" t="s">
        <v>27</v>
      </c>
      <c r="L26" s="13">
        <f>D27</f>
        <v>27.2</v>
      </c>
      <c r="M26" s="33" t="s">
        <v>13</v>
      </c>
      <c r="N26" s="13">
        <f>D24</f>
        <v>23.61</v>
      </c>
      <c r="O26" s="33" t="s">
        <v>21</v>
      </c>
      <c r="P26" s="13">
        <f>D26</f>
        <v>24.39</v>
      </c>
      <c r="Q26" s="18"/>
      <c r="R26" s="59" t="s">
        <v>21</v>
      </c>
      <c r="S26" s="65">
        <f t="shared" si="3"/>
        <v>23.36</v>
      </c>
      <c r="T26" s="19"/>
      <c r="U26" s="13"/>
      <c r="V26" s="19"/>
      <c r="W26" s="13"/>
      <c r="X26" s="19"/>
      <c r="Y26" s="13"/>
      <c r="AE26" s="12"/>
    </row>
    <row r="27" spans="1:32" ht="15.75" customHeight="1" x14ac:dyDescent="0.2">
      <c r="A27" s="2" t="s">
        <v>27</v>
      </c>
      <c r="B27" s="32">
        <v>28.94</v>
      </c>
      <c r="C27" s="11"/>
      <c r="D27" s="32">
        <v>27.2</v>
      </c>
      <c r="E27" s="32">
        <v>24.17</v>
      </c>
      <c r="F27" s="32">
        <v>56.47</v>
      </c>
      <c r="H27" s="84" t="s">
        <v>12</v>
      </c>
      <c r="I27" s="61" t="s">
        <v>20</v>
      </c>
      <c r="J27" s="67">
        <f>E25</f>
        <v>22.52</v>
      </c>
      <c r="K27" s="34" t="s">
        <v>20</v>
      </c>
      <c r="L27" s="22">
        <f>E25</f>
        <v>22.52</v>
      </c>
      <c r="M27" s="34" t="s">
        <v>20</v>
      </c>
      <c r="N27" s="22">
        <f>E25</f>
        <v>22.52</v>
      </c>
      <c r="O27" s="34" t="s">
        <v>79</v>
      </c>
      <c r="P27" s="22">
        <f>E25</f>
        <v>22.52</v>
      </c>
      <c r="Q27" s="18"/>
      <c r="R27" s="61" t="s">
        <v>27</v>
      </c>
      <c r="S27" s="62">
        <f t="shared" si="3"/>
        <v>24.17</v>
      </c>
      <c r="T27" s="24"/>
      <c r="U27" s="22"/>
      <c r="V27" s="24"/>
      <c r="W27" s="22"/>
      <c r="X27" s="24"/>
      <c r="Y27" s="22"/>
      <c r="AE27" s="12"/>
    </row>
    <row r="28" spans="1:32" ht="15.75" customHeight="1" x14ac:dyDescent="0.2">
      <c r="A28" s="2" t="s">
        <v>35</v>
      </c>
      <c r="B28" s="32">
        <v>29.15</v>
      </c>
      <c r="C28" s="32">
        <v>32.89</v>
      </c>
      <c r="D28" s="32">
        <v>27.5</v>
      </c>
      <c r="E28" s="32">
        <v>24.22</v>
      </c>
      <c r="F28" s="10">
        <v>56.92</v>
      </c>
      <c r="H28" s="64"/>
      <c r="I28" s="58" t="s">
        <v>30</v>
      </c>
      <c r="J28" s="55">
        <f>SUM(J24:J27)</f>
        <v>102.17</v>
      </c>
      <c r="K28" s="19" t="s">
        <v>30</v>
      </c>
      <c r="L28" s="13">
        <f>SUM(L24:L27)</f>
        <v>102.97999999999999</v>
      </c>
      <c r="M28" s="19" t="s">
        <v>30</v>
      </c>
      <c r="N28" s="13">
        <f>SUM(N24:N27)</f>
        <v>103.11</v>
      </c>
      <c r="O28" s="19" t="s">
        <v>30</v>
      </c>
      <c r="P28" s="13">
        <f>SUM(P24:P27)</f>
        <v>102.36</v>
      </c>
      <c r="Q28" s="18"/>
      <c r="R28" s="58" t="s">
        <v>30</v>
      </c>
      <c r="S28" s="55">
        <f>SUM(S24:S27)</f>
        <v>91.48</v>
      </c>
      <c r="T28" s="19" t="s">
        <v>30</v>
      </c>
      <c r="U28" s="13">
        <f>SUM(U24:U27)</f>
        <v>0</v>
      </c>
      <c r="V28" s="19" t="s">
        <v>30</v>
      </c>
      <c r="W28" s="13">
        <f>SUM(W24:W27)</f>
        <v>0</v>
      </c>
      <c r="X28" s="19" t="s">
        <v>30</v>
      </c>
      <c r="Y28" s="13">
        <f>SUM(Y24:Y27)</f>
        <v>0</v>
      </c>
      <c r="AE28" s="12"/>
    </row>
    <row r="29" spans="1:32" ht="15.75" customHeight="1" x14ac:dyDescent="0.2">
      <c r="A29" s="2" t="s">
        <v>26</v>
      </c>
      <c r="B29" s="11"/>
      <c r="C29" s="32">
        <v>30.87</v>
      </c>
      <c r="D29" s="10"/>
      <c r="E29" s="32">
        <v>24.26</v>
      </c>
      <c r="F29" s="32">
        <v>54.54</v>
      </c>
      <c r="G29" s="46">
        <v>56.86</v>
      </c>
      <c r="H29" s="64"/>
      <c r="I29" s="58" t="s">
        <v>31</v>
      </c>
      <c r="J29" s="55">
        <f>J28-60</f>
        <v>42.17</v>
      </c>
      <c r="K29" s="19" t="s">
        <v>31</v>
      </c>
      <c r="L29" s="13">
        <f>L28-60</f>
        <v>42.97999999999999</v>
      </c>
      <c r="M29" s="19" t="s">
        <v>31</v>
      </c>
      <c r="N29" s="13">
        <f>N28-60</f>
        <v>43.11</v>
      </c>
      <c r="O29" s="19" t="s">
        <v>31</v>
      </c>
      <c r="P29" s="13">
        <f>P28-60</f>
        <v>42.36</v>
      </c>
      <c r="Q29" s="18"/>
      <c r="R29" s="58" t="s">
        <v>31</v>
      </c>
      <c r="S29" s="55">
        <f>S28-60</f>
        <v>31.480000000000004</v>
      </c>
      <c r="T29" s="19" t="s">
        <v>31</v>
      </c>
      <c r="U29" s="13">
        <f>U28-60</f>
        <v>-60</v>
      </c>
      <c r="V29" s="19" t="s">
        <v>31</v>
      </c>
      <c r="W29" s="13">
        <f>W28-60</f>
        <v>-60</v>
      </c>
      <c r="X29" s="19" t="s">
        <v>31</v>
      </c>
      <c r="Y29" s="13">
        <f>Y28-60</f>
        <v>-60</v>
      </c>
      <c r="AE29" s="12"/>
    </row>
    <row r="30" spans="1:32" ht="15.75" x14ac:dyDescent="0.2">
      <c r="A30" s="2" t="s">
        <v>32</v>
      </c>
      <c r="B30" s="11"/>
      <c r="C30" s="11"/>
      <c r="D30" s="10">
        <v>28.37</v>
      </c>
      <c r="E30" s="10">
        <v>24.28</v>
      </c>
      <c r="F30" s="10">
        <v>55.64</v>
      </c>
      <c r="H30" s="38" t="s">
        <v>18</v>
      </c>
      <c r="I30" s="39"/>
      <c r="J30" s="40"/>
      <c r="K30" s="41"/>
      <c r="L30" s="40"/>
      <c r="M30" s="41"/>
      <c r="N30" s="40"/>
      <c r="O30" s="41"/>
      <c r="P30" s="40"/>
      <c r="Q30" s="42"/>
      <c r="R30" s="81" t="s">
        <v>24</v>
      </c>
      <c r="S30" s="82"/>
      <c r="T30" s="41"/>
      <c r="U30" s="40"/>
      <c r="V30" s="41"/>
      <c r="W30" s="40"/>
      <c r="X30" s="41"/>
      <c r="Y30" s="40"/>
      <c r="AE30" s="12"/>
    </row>
    <row r="31" spans="1:32" ht="15.75" x14ac:dyDescent="0.2">
      <c r="A31" s="2" t="s">
        <v>33</v>
      </c>
      <c r="B31" s="28">
        <v>28.11</v>
      </c>
      <c r="C31" s="11"/>
      <c r="D31" s="10">
        <v>28.98</v>
      </c>
      <c r="E31" s="32">
        <v>25.3</v>
      </c>
      <c r="F31" s="32">
        <v>55.29</v>
      </c>
      <c r="H31" s="12" t="s">
        <v>9</v>
      </c>
      <c r="I31" s="33" t="s">
        <v>35</v>
      </c>
      <c r="J31" s="13">
        <f>B28</f>
        <v>29.15</v>
      </c>
      <c r="K31" s="19" t="s">
        <v>27</v>
      </c>
      <c r="L31" s="13">
        <f>B27</f>
        <v>28.94</v>
      </c>
      <c r="M31" s="68" t="s">
        <v>35</v>
      </c>
      <c r="N31" s="55">
        <f>B28</f>
        <v>29.15</v>
      </c>
      <c r="O31" s="19" t="s">
        <v>34</v>
      </c>
      <c r="P31" s="13">
        <f>B32</f>
        <v>30.28</v>
      </c>
      <c r="Q31" s="18"/>
      <c r="R31" s="59" t="s">
        <v>35</v>
      </c>
      <c r="S31" s="55">
        <f>E28</f>
        <v>24.22</v>
      </c>
      <c r="T31" s="19"/>
      <c r="U31" s="13"/>
      <c r="V31" s="19"/>
      <c r="W31" s="13"/>
      <c r="X31" s="19"/>
      <c r="Y31" s="13"/>
      <c r="AE31" s="12"/>
    </row>
    <row r="32" spans="1:32" ht="15.75" x14ac:dyDescent="0.2">
      <c r="A32" s="2" t="s">
        <v>34</v>
      </c>
      <c r="B32" s="32">
        <v>30.28</v>
      </c>
      <c r="C32" s="32">
        <v>33.130000000000003</v>
      </c>
      <c r="D32" s="29">
        <v>28.65</v>
      </c>
      <c r="E32" s="32">
        <v>26.68</v>
      </c>
      <c r="F32" s="32">
        <v>60.36</v>
      </c>
      <c r="H32" s="12" t="s">
        <v>10</v>
      </c>
      <c r="I32" s="33" t="s">
        <v>26</v>
      </c>
      <c r="J32" s="13">
        <f>C29</f>
        <v>30.87</v>
      </c>
      <c r="K32" s="19" t="s">
        <v>26</v>
      </c>
      <c r="L32" s="13">
        <f>C29</f>
        <v>30.87</v>
      </c>
      <c r="M32" s="68" t="s">
        <v>93</v>
      </c>
      <c r="N32" s="55">
        <f>C32</f>
        <v>33.130000000000003</v>
      </c>
      <c r="O32" s="19" t="s">
        <v>35</v>
      </c>
      <c r="P32" s="13">
        <f>C28</f>
        <v>32.89</v>
      </c>
      <c r="Q32" s="18"/>
      <c r="R32" s="59" t="s">
        <v>26</v>
      </c>
      <c r="S32" s="55">
        <f t="shared" ref="S32" si="4">E29</f>
        <v>24.26</v>
      </c>
      <c r="T32" s="19"/>
      <c r="U32" s="13"/>
      <c r="V32" s="19"/>
      <c r="W32" s="13"/>
      <c r="X32" s="19"/>
      <c r="Y32" s="13"/>
      <c r="AE32" s="12"/>
    </row>
    <row r="33" spans="1:31" ht="15.75" x14ac:dyDescent="0.2">
      <c r="A33" s="2" t="s">
        <v>55</v>
      </c>
      <c r="B33" s="11"/>
      <c r="C33" s="32">
        <v>33.89</v>
      </c>
      <c r="D33" s="10">
        <v>28.47</v>
      </c>
      <c r="E33" s="10">
        <v>26.79</v>
      </c>
      <c r="F33" s="17"/>
      <c r="H33" s="12" t="s">
        <v>11</v>
      </c>
      <c r="I33" s="33" t="s">
        <v>27</v>
      </c>
      <c r="J33" s="13">
        <f>D27</f>
        <v>27.2</v>
      </c>
      <c r="K33" s="19" t="s">
        <v>35</v>
      </c>
      <c r="L33" s="13">
        <f>D28</f>
        <v>27.5</v>
      </c>
      <c r="M33" s="68" t="s">
        <v>55</v>
      </c>
      <c r="N33" s="55">
        <f>D33</f>
        <v>28.47</v>
      </c>
      <c r="O33" s="19" t="s">
        <v>55</v>
      </c>
      <c r="P33" s="13">
        <f>D33</f>
        <v>28.47</v>
      </c>
      <c r="Q33" s="18"/>
      <c r="R33" s="59" t="s">
        <v>55</v>
      </c>
      <c r="S33" s="55">
        <f>E33</f>
        <v>26.79</v>
      </c>
      <c r="T33" s="19"/>
      <c r="U33" s="13"/>
      <c r="V33" s="19"/>
      <c r="W33" s="13"/>
      <c r="X33" s="19"/>
      <c r="Y33" s="13"/>
      <c r="AE33" s="12"/>
    </row>
    <row r="34" spans="1:31" ht="15.75" x14ac:dyDescent="0.2">
      <c r="A34" s="2" t="s">
        <v>53</v>
      </c>
      <c r="B34" s="11"/>
      <c r="C34" s="11">
        <v>33.31</v>
      </c>
      <c r="D34" s="29"/>
      <c r="E34" s="29">
        <v>26.89</v>
      </c>
      <c r="F34" s="15">
        <v>59.47</v>
      </c>
      <c r="H34" s="21" t="s">
        <v>12</v>
      </c>
      <c r="I34" s="34" t="s">
        <v>32</v>
      </c>
      <c r="J34" s="22">
        <f>E30</f>
        <v>24.28</v>
      </c>
      <c r="K34" s="24" t="s">
        <v>32</v>
      </c>
      <c r="L34" s="22">
        <f>E30</f>
        <v>24.28</v>
      </c>
      <c r="M34" s="70" t="s">
        <v>89</v>
      </c>
      <c r="N34" s="71">
        <f>E35</f>
        <v>26.95</v>
      </c>
      <c r="O34" s="24" t="s">
        <v>89</v>
      </c>
      <c r="P34" s="22">
        <f>E35</f>
        <v>26.95</v>
      </c>
      <c r="Q34" s="18"/>
      <c r="R34" s="61" t="s">
        <v>53</v>
      </c>
      <c r="S34" s="83">
        <f>E34</f>
        <v>26.89</v>
      </c>
      <c r="T34" s="24"/>
      <c r="U34" s="22"/>
      <c r="V34" s="24"/>
      <c r="W34" s="22"/>
      <c r="X34" s="24"/>
      <c r="Y34" s="22"/>
      <c r="AE34" s="12"/>
    </row>
    <row r="35" spans="1:31" ht="15.75" x14ac:dyDescent="0.2">
      <c r="A35" s="2" t="s">
        <v>89</v>
      </c>
      <c r="B35" s="11"/>
      <c r="C35" s="11"/>
      <c r="D35" s="29"/>
      <c r="E35" s="29">
        <v>26.95</v>
      </c>
      <c r="F35" s="15">
        <v>61.6</v>
      </c>
      <c r="H35" s="12"/>
      <c r="I35" s="19" t="s">
        <v>30</v>
      </c>
      <c r="J35" s="13">
        <f>SUM(J31:J34)</f>
        <v>111.5</v>
      </c>
      <c r="K35" s="19" t="s">
        <v>30</v>
      </c>
      <c r="L35" s="13">
        <f>SUM(L31:L34)</f>
        <v>111.59</v>
      </c>
      <c r="M35" s="68" t="s">
        <v>30</v>
      </c>
      <c r="N35" s="55">
        <f>SUM(N31:N34)</f>
        <v>117.7</v>
      </c>
      <c r="O35" s="19" t="s">
        <v>30</v>
      </c>
      <c r="P35" s="13">
        <f>SUM(P31:P34)</f>
        <v>118.59</v>
      </c>
      <c r="Q35" s="18"/>
      <c r="R35" s="68" t="s">
        <v>30</v>
      </c>
      <c r="S35" s="55">
        <f>SUM(S31:S34)</f>
        <v>102.16000000000001</v>
      </c>
      <c r="T35" s="19"/>
      <c r="U35" s="13"/>
      <c r="V35" s="19"/>
      <c r="W35" s="13"/>
      <c r="X35" s="19"/>
      <c r="Y35" s="13"/>
      <c r="AE35" s="12"/>
    </row>
    <row r="36" spans="1:31" ht="15.75" x14ac:dyDescent="0.2">
      <c r="A36" s="2" t="s">
        <v>88</v>
      </c>
      <c r="B36" s="11">
        <v>33.729999999999997</v>
      </c>
      <c r="C36" s="11"/>
      <c r="D36" s="29"/>
      <c r="E36" s="29">
        <v>27.16</v>
      </c>
      <c r="F36" s="15">
        <v>60.55</v>
      </c>
      <c r="H36" s="12"/>
      <c r="I36" s="19" t="s">
        <v>31</v>
      </c>
      <c r="J36" s="13">
        <f>J35-60</f>
        <v>51.5</v>
      </c>
      <c r="K36" s="19" t="s">
        <v>31</v>
      </c>
      <c r="L36" s="13">
        <f>L35-60</f>
        <v>51.59</v>
      </c>
      <c r="M36" s="68" t="s">
        <v>31</v>
      </c>
      <c r="N36" s="55">
        <f>N35-60</f>
        <v>57.7</v>
      </c>
      <c r="O36" s="19" t="s">
        <v>31</v>
      </c>
      <c r="P36" s="13">
        <f>P35-60</f>
        <v>58.59</v>
      </c>
      <c r="Q36" s="18"/>
      <c r="R36" s="68" t="s">
        <v>31</v>
      </c>
      <c r="S36" s="55">
        <f>S35-60</f>
        <v>42.160000000000011</v>
      </c>
      <c r="T36" s="19"/>
      <c r="U36" s="13"/>
      <c r="V36" s="19"/>
      <c r="W36" s="13"/>
      <c r="X36" s="19"/>
      <c r="Y36" s="13"/>
      <c r="AE36" s="12"/>
    </row>
    <row r="37" spans="1:31" ht="15.75" x14ac:dyDescent="0.2">
      <c r="A37" s="2" t="s">
        <v>94</v>
      </c>
      <c r="B37" s="11">
        <v>32.65</v>
      </c>
      <c r="C37" s="11"/>
      <c r="D37" s="29"/>
      <c r="E37" s="29"/>
      <c r="F37" s="15"/>
      <c r="AE37" s="12"/>
    </row>
    <row r="38" spans="1:31" ht="15.75" x14ac:dyDescent="0.2">
      <c r="A38" s="2" t="s">
        <v>95</v>
      </c>
      <c r="B38" s="11"/>
      <c r="C38" s="11"/>
      <c r="D38" s="29"/>
      <c r="E38" s="29"/>
      <c r="F38" s="15">
        <v>63.32</v>
      </c>
      <c r="AE38" s="12"/>
    </row>
    <row r="39" spans="1:31" ht="15.75" x14ac:dyDescent="0.2">
      <c r="B39" s="1" t="s">
        <v>54</v>
      </c>
      <c r="H39" s="12"/>
      <c r="I39" s="58" t="s">
        <v>84</v>
      </c>
      <c r="J39" s="64"/>
      <c r="K39" s="64"/>
      <c r="L39" s="12"/>
    </row>
    <row r="40" spans="1:31" ht="15.75" x14ac:dyDescent="0.2">
      <c r="H40" s="18"/>
      <c r="I40" s="58" t="s">
        <v>17</v>
      </c>
      <c r="J40" s="58"/>
      <c r="K40" s="12"/>
      <c r="L40" s="12"/>
    </row>
    <row r="41" spans="1:31" ht="15.75" x14ac:dyDescent="0.2">
      <c r="B41" s="45"/>
      <c r="H41" s="18"/>
      <c r="I41" s="59" t="s">
        <v>3</v>
      </c>
      <c r="J41" s="60">
        <f>F6</f>
        <v>52.98</v>
      </c>
      <c r="K41" s="2"/>
      <c r="L41" s="13"/>
    </row>
    <row r="42" spans="1:31" ht="15.75" x14ac:dyDescent="0.2">
      <c r="H42" s="18"/>
      <c r="I42" s="59" t="s">
        <v>48</v>
      </c>
      <c r="J42" s="60">
        <f>F5</f>
        <v>54.74</v>
      </c>
      <c r="K42" s="2"/>
      <c r="L42" s="13"/>
    </row>
    <row r="43" spans="1:31" ht="15.75" x14ac:dyDescent="0.2">
      <c r="H43" s="18"/>
      <c r="I43" s="59" t="s">
        <v>49</v>
      </c>
      <c r="J43" s="60">
        <f>F8</f>
        <v>56.91</v>
      </c>
      <c r="K43" s="2"/>
      <c r="L43" s="13"/>
    </row>
    <row r="44" spans="1:31" ht="15.75" x14ac:dyDescent="0.2">
      <c r="H44" s="18"/>
      <c r="I44" s="61" t="s">
        <v>15</v>
      </c>
      <c r="J44" s="62">
        <f>F7</f>
        <v>57.32</v>
      </c>
      <c r="K44" s="30"/>
      <c r="L44" s="22"/>
    </row>
    <row r="45" spans="1:31" ht="15.75" x14ac:dyDescent="0.2">
      <c r="H45" s="18"/>
      <c r="I45" s="58" t="s">
        <v>30</v>
      </c>
      <c r="J45" s="63">
        <f>SUM(J41:J44)</f>
        <v>221.95</v>
      </c>
      <c r="K45" s="12" t="s">
        <v>30</v>
      </c>
      <c r="L45" s="15">
        <f>SUM(L41:L44)</f>
        <v>0</v>
      </c>
    </row>
    <row r="46" spans="1:31" ht="15.75" x14ac:dyDescent="0.2">
      <c r="H46" s="18"/>
      <c r="I46" s="58" t="s">
        <v>29</v>
      </c>
      <c r="J46" s="63">
        <f>J45-180</f>
        <v>41.949999999999989</v>
      </c>
      <c r="K46" s="12" t="s">
        <v>29</v>
      </c>
      <c r="L46" s="13">
        <f>L45-180</f>
        <v>-180</v>
      </c>
    </row>
    <row r="47" spans="1:31" ht="15.75" x14ac:dyDescent="0.2">
      <c r="H47" s="42"/>
      <c r="I47" s="38" t="s">
        <v>25</v>
      </c>
      <c r="J47" s="56"/>
      <c r="K47" s="85" t="s">
        <v>86</v>
      </c>
      <c r="L47" s="82"/>
    </row>
    <row r="48" spans="1:31" ht="15.75" x14ac:dyDescent="0.2">
      <c r="H48" s="18"/>
      <c r="I48" s="12" t="s">
        <v>14</v>
      </c>
      <c r="J48" s="44">
        <f>F9</f>
        <v>58.6</v>
      </c>
      <c r="K48" s="58" t="s">
        <v>80</v>
      </c>
      <c r="L48" s="55">
        <f>F15</f>
        <v>59.98</v>
      </c>
    </row>
    <row r="49" spans="8:14" ht="15.75" x14ac:dyDescent="0.2">
      <c r="H49" s="18"/>
      <c r="I49" s="12" t="s">
        <v>80</v>
      </c>
      <c r="J49" s="44">
        <f>F15</f>
        <v>59.98</v>
      </c>
      <c r="K49" s="58" t="s">
        <v>8</v>
      </c>
      <c r="L49" s="55">
        <f>F10</f>
        <v>61.49</v>
      </c>
    </row>
    <row r="50" spans="8:14" ht="15.75" x14ac:dyDescent="0.2">
      <c r="H50" s="18"/>
      <c r="I50" s="12" t="s">
        <v>8</v>
      </c>
      <c r="J50" s="44">
        <f>F10</f>
        <v>61.49</v>
      </c>
      <c r="K50" s="58" t="s">
        <v>28</v>
      </c>
      <c r="L50" s="55">
        <f>F13</f>
        <v>64.459999999999994</v>
      </c>
    </row>
    <row r="51" spans="8:14" ht="15.75" x14ac:dyDescent="0.2">
      <c r="H51" s="18"/>
      <c r="I51" s="21" t="s">
        <v>46</v>
      </c>
      <c r="J51" s="23">
        <f>F11</f>
        <v>61.97</v>
      </c>
      <c r="K51" s="66" t="s">
        <v>81</v>
      </c>
      <c r="L51" s="71">
        <f>F16</f>
        <v>67.59</v>
      </c>
    </row>
    <row r="52" spans="8:14" ht="15.75" x14ac:dyDescent="0.2">
      <c r="H52" s="18"/>
      <c r="I52" s="12" t="s">
        <v>30</v>
      </c>
      <c r="J52" s="44">
        <f>SUM(J48:J51)</f>
        <v>242.04</v>
      </c>
      <c r="K52" s="58" t="s">
        <v>30</v>
      </c>
      <c r="L52" s="55">
        <f>SUM(L48:L51)</f>
        <v>253.52</v>
      </c>
    </row>
    <row r="53" spans="8:14" ht="15.75" x14ac:dyDescent="0.2">
      <c r="H53" s="18"/>
      <c r="I53" s="12" t="s">
        <v>45</v>
      </c>
      <c r="J53" s="44">
        <f>J52-240</f>
        <v>2.039999999999992</v>
      </c>
      <c r="K53" s="58" t="s">
        <v>45</v>
      </c>
      <c r="L53" s="55">
        <f>L52-240</f>
        <v>13.52000000000001</v>
      </c>
    </row>
    <row r="54" spans="8:14" ht="15.75" x14ac:dyDescent="0.2">
      <c r="H54" s="18"/>
      <c r="I54" s="18"/>
      <c r="J54" s="18"/>
      <c r="K54" s="18"/>
      <c r="L54" s="18"/>
    </row>
    <row r="56" spans="8:14" ht="15.75" x14ac:dyDescent="0.2">
      <c r="I56" s="58" t="s">
        <v>92</v>
      </c>
      <c r="J56" s="79"/>
      <c r="K56" s="79"/>
      <c r="L56" s="79"/>
    </row>
    <row r="57" spans="8:14" ht="15.75" x14ac:dyDescent="0.2">
      <c r="H57" s="18"/>
      <c r="I57" s="14" t="s">
        <v>17</v>
      </c>
      <c r="J57" s="14"/>
      <c r="K57" s="12"/>
      <c r="L57" s="12"/>
    </row>
    <row r="58" spans="8:14" ht="15.75" x14ac:dyDescent="0.2">
      <c r="H58" s="18"/>
      <c r="I58" s="2" t="s">
        <v>13</v>
      </c>
      <c r="J58" s="74">
        <f>F24</f>
        <v>47.16</v>
      </c>
      <c r="K58" s="19"/>
      <c r="L58" s="12"/>
    </row>
    <row r="59" spans="8:14" ht="15.75" x14ac:dyDescent="0.2">
      <c r="H59" s="18"/>
      <c r="I59" s="2" t="s">
        <v>21</v>
      </c>
      <c r="J59" s="74">
        <f>F26</f>
        <v>52.21</v>
      </c>
      <c r="K59" s="19"/>
      <c r="L59" s="12"/>
    </row>
    <row r="60" spans="8:14" ht="15.75" x14ac:dyDescent="0.2">
      <c r="H60" s="18"/>
      <c r="I60" s="2" t="s">
        <v>20</v>
      </c>
      <c r="J60" s="74">
        <f>F25</f>
        <v>52.22</v>
      </c>
      <c r="K60" s="19"/>
      <c r="L60" s="15"/>
    </row>
    <row r="61" spans="8:14" ht="15.75" x14ac:dyDescent="0.2">
      <c r="H61" s="18"/>
      <c r="I61" s="75" t="s">
        <v>33</v>
      </c>
      <c r="J61" s="76">
        <f>F31</f>
        <v>55.29</v>
      </c>
      <c r="K61" s="24"/>
      <c r="L61" s="25"/>
    </row>
    <row r="62" spans="8:14" ht="15.75" x14ac:dyDescent="0.2">
      <c r="H62" s="18"/>
      <c r="I62" s="12" t="s">
        <v>30</v>
      </c>
      <c r="J62" s="44">
        <f>SUM(J58:J61)</f>
        <v>206.88</v>
      </c>
      <c r="K62" s="19" t="s">
        <v>30</v>
      </c>
      <c r="L62" s="13">
        <f>SUM(L58:L61)</f>
        <v>0</v>
      </c>
    </row>
    <row r="63" spans="8:14" ht="15.75" x14ac:dyDescent="0.2">
      <c r="H63" s="18"/>
      <c r="I63" s="12" t="s">
        <v>29</v>
      </c>
      <c r="J63" s="44">
        <f>J62-180</f>
        <v>26.879999999999995</v>
      </c>
      <c r="K63" s="19" t="s">
        <v>29</v>
      </c>
      <c r="L63" s="16">
        <f>L62-180</f>
        <v>-180</v>
      </c>
      <c r="M63" s="78" t="s">
        <v>87</v>
      </c>
      <c r="N63" s="48"/>
    </row>
    <row r="64" spans="8:14" ht="15.75" x14ac:dyDescent="0.2">
      <c r="H64" s="42"/>
      <c r="I64" s="38" t="s">
        <v>25</v>
      </c>
      <c r="J64" s="56"/>
      <c r="K64" s="43" t="s">
        <v>25</v>
      </c>
      <c r="L64" s="39"/>
      <c r="M64" s="43" t="s">
        <v>25</v>
      </c>
      <c r="N64" s="39"/>
    </row>
    <row r="65" spans="8:14" ht="15.75" x14ac:dyDescent="0.2">
      <c r="H65" s="18"/>
      <c r="I65" s="2" t="s">
        <v>32</v>
      </c>
      <c r="J65" s="44">
        <f>F30</f>
        <v>55.64</v>
      </c>
      <c r="K65" s="68" t="s">
        <v>33</v>
      </c>
      <c r="L65" s="55">
        <f>F31</f>
        <v>55.29</v>
      </c>
      <c r="M65" s="68" t="s">
        <v>34</v>
      </c>
      <c r="N65" s="55">
        <f>F32</f>
        <v>60.36</v>
      </c>
    </row>
    <row r="66" spans="8:14" ht="15.75" x14ac:dyDescent="0.2">
      <c r="H66" s="18"/>
      <c r="I66" s="2" t="s">
        <v>27</v>
      </c>
      <c r="J66" s="44">
        <f>F27</f>
        <v>56.47</v>
      </c>
      <c r="K66" s="68" t="s">
        <v>27</v>
      </c>
      <c r="L66" s="55">
        <f>F27</f>
        <v>56.47</v>
      </c>
      <c r="M66" s="68" t="s">
        <v>88</v>
      </c>
      <c r="N66" s="55">
        <f>F36</f>
        <v>60.55</v>
      </c>
    </row>
    <row r="67" spans="8:14" ht="15.75" x14ac:dyDescent="0.2">
      <c r="H67" s="18"/>
      <c r="I67" s="50" t="s">
        <v>26</v>
      </c>
      <c r="J67" s="57">
        <f>G29</f>
        <v>56.86</v>
      </c>
      <c r="K67" s="68" t="s">
        <v>26</v>
      </c>
      <c r="L67" s="55">
        <f>G29</f>
        <v>56.86</v>
      </c>
      <c r="M67" s="86" t="s">
        <v>89</v>
      </c>
      <c r="N67" s="55">
        <f>F35</f>
        <v>61.6</v>
      </c>
    </row>
    <row r="68" spans="8:14" ht="15.75" x14ac:dyDescent="0.2">
      <c r="H68" s="18"/>
      <c r="I68" s="30" t="s">
        <v>35</v>
      </c>
      <c r="J68" s="23">
        <f>F28</f>
        <v>56.92</v>
      </c>
      <c r="K68" s="77" t="s">
        <v>53</v>
      </c>
      <c r="L68" s="71">
        <f>F34</f>
        <v>59.47</v>
      </c>
      <c r="M68" s="77" t="s">
        <v>96</v>
      </c>
      <c r="N68" s="71">
        <f>F38</f>
        <v>63.32</v>
      </c>
    </row>
    <row r="69" spans="8:14" ht="15.75" x14ac:dyDescent="0.2">
      <c r="H69" s="18"/>
      <c r="I69" s="19" t="s">
        <v>30</v>
      </c>
      <c r="J69" s="44">
        <f>SUM(J65:J68)</f>
        <v>225.89</v>
      </c>
      <c r="K69" s="68" t="s">
        <v>30</v>
      </c>
      <c r="L69" s="63">
        <f>SUM(L65:L68)</f>
        <v>228.09</v>
      </c>
      <c r="M69" s="68" t="s">
        <v>30</v>
      </c>
      <c r="N69" s="63">
        <f>SUM(N65:N68)</f>
        <v>245.82999999999998</v>
      </c>
    </row>
    <row r="70" spans="8:14" ht="15.75" x14ac:dyDescent="0.2">
      <c r="H70" s="18"/>
      <c r="I70" s="19" t="s">
        <v>29</v>
      </c>
      <c r="J70" s="51">
        <f>J69-180</f>
        <v>45.889999999999986</v>
      </c>
      <c r="K70" s="68" t="s">
        <v>29</v>
      </c>
      <c r="L70" s="63">
        <f>L69-180</f>
        <v>48.09</v>
      </c>
      <c r="M70" s="68" t="s">
        <v>45</v>
      </c>
      <c r="N70" s="63">
        <f>N69-240</f>
        <v>5.8299999999999841</v>
      </c>
    </row>
  </sheetData>
  <autoFilter ref="A3:F3" xr:uid="{C58814CE-708D-4CDB-93DD-2EA18668DC56}"/>
  <sortState xmlns:xlrd2="http://schemas.microsoft.com/office/spreadsheetml/2017/richdata2" ref="A5:F15">
    <sortCondition ref="E5:E15"/>
  </sortState>
  <conditionalFormatting sqref="B34:E38">
    <cfRule type="cellIs" dxfId="21" priority="1" operator="equal">
      <formula>0</formula>
    </cfRule>
  </conditionalFormatting>
  <conditionalFormatting sqref="B4:F18">
    <cfRule type="cellIs" dxfId="20" priority="2" operator="equal">
      <formula>0</formula>
    </cfRule>
  </conditionalFormatting>
  <conditionalFormatting sqref="C33:E33">
    <cfRule type="cellIs" dxfId="19" priority="9" operator="equal">
      <formula>0</formula>
    </cfRule>
  </conditionalFormatting>
  <conditionalFormatting sqref="G29">
    <cfRule type="cellIs" dxfId="18" priority="8" operator="equal">
      <formula>0</formula>
    </cfRule>
  </conditionalFormatting>
  <conditionalFormatting sqref="J5:J8 L7:L9 P7:P9">
    <cfRule type="cellIs" dxfId="17" priority="53" operator="equal">
      <formula>0</formula>
    </cfRule>
  </conditionalFormatting>
  <conditionalFormatting sqref="J20:J22 B23:F23 B23:B33 C24:F32 B27:E28">
    <cfRule type="cellIs" dxfId="16" priority="51" operator="equal">
      <formula>0</formula>
    </cfRule>
  </conditionalFormatting>
  <conditionalFormatting sqref="J24:J27">
    <cfRule type="cellIs" dxfId="15" priority="20" operator="equal">
      <formula>0</formula>
    </cfRule>
  </conditionalFormatting>
  <conditionalFormatting sqref="J41:J44">
    <cfRule type="cellIs" dxfId="14" priority="15" operator="equal">
      <formula>0</formula>
    </cfRule>
  </conditionalFormatting>
  <conditionalFormatting sqref="J58:J61 L60:L61">
    <cfRule type="cellIs" dxfId="13" priority="14" operator="equal">
      <formula>0</formula>
    </cfRule>
  </conditionalFormatting>
  <conditionalFormatting sqref="L45">
    <cfRule type="cellIs" dxfId="12" priority="13" operator="equal">
      <formula>0</formula>
    </cfRule>
  </conditionalFormatting>
  <conditionalFormatting sqref="S5:S8 U9">
    <cfRule type="cellIs" dxfId="11" priority="19" operator="equal">
      <formula>0</formula>
    </cfRule>
  </conditionalFormatting>
  <conditionalFormatting sqref="S20:S22">
    <cfRule type="cellIs" dxfId="10" priority="18" operator="equal">
      <formula>0</formula>
    </cfRule>
  </conditionalFormatting>
  <conditionalFormatting sqref="S24:S27">
    <cfRule type="cellIs" dxfId="9" priority="17" operator="equal">
      <formula>0</formula>
    </cfRule>
  </conditionalFormatting>
  <conditionalFormatting sqref="W7:W9">
    <cfRule type="cellIs" dxfId="8" priority="16" operator="equal">
      <formula>0</formula>
    </cfRule>
  </conditionalFormatting>
  <conditionalFormatting sqref="Y9">
    <cfRule type="cellIs" dxfId="7" priority="5" operator="equal">
      <formula>0</formula>
    </cfRule>
  </conditionalFormatting>
  <conditionalFormatting sqref="AF7:AF9">
    <cfRule type="cellIs" dxfId="6" priority="12" operator="equal">
      <formula>0</formula>
    </cfRule>
  </conditionalFormatting>
  <pageMargins left="0.2" right="0.2" top="0.75" bottom="0.75" header="0.3" footer="0.3"/>
  <pageSetup scale="4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3831-4C3B-4F75-A6FE-4BB64753F0E0}">
  <sheetPr>
    <pageSetUpPr fitToPage="1"/>
  </sheetPr>
  <dimension ref="A1:W3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V17" sqref="V17"/>
    </sheetView>
  </sheetViews>
  <sheetFormatPr defaultRowHeight="12.75" x14ac:dyDescent="0.2"/>
  <cols>
    <col min="1" max="1" width="21.140625" style="5" customWidth="1"/>
    <col min="2" max="4" width="11" style="5" customWidth="1"/>
    <col min="5" max="5" width="11.42578125" style="5" customWidth="1"/>
    <col min="6" max="6" width="11" style="5" customWidth="1"/>
    <col min="7" max="8" width="9.140625" style="5"/>
    <col min="9" max="9" width="16.140625" style="5" customWidth="1"/>
    <col min="10" max="10" width="11.5703125" style="5" bestFit="1" customWidth="1"/>
    <col min="11" max="11" width="20.7109375" style="5" customWidth="1"/>
    <col min="12" max="12" width="11.5703125" style="5" bestFit="1" customWidth="1"/>
    <col min="13" max="13" width="3.7109375" style="5" customWidth="1"/>
    <col min="14" max="14" width="18.140625" style="5" customWidth="1"/>
    <col min="15" max="15" width="9.140625" style="5"/>
    <col min="16" max="16" width="19.5703125" style="5" customWidth="1"/>
    <col min="17" max="17" width="9.140625" style="5"/>
    <col min="18" max="18" width="3.7109375" style="5" customWidth="1"/>
    <col min="19" max="19" width="18.5703125" style="5" customWidth="1"/>
    <col min="20" max="20" width="10.28515625" style="5" customWidth="1"/>
    <col min="21" max="21" width="21.7109375" style="5" customWidth="1"/>
    <col min="22" max="22" width="11.5703125" style="5" bestFit="1" customWidth="1"/>
    <col min="23" max="23" width="11.42578125" style="5" customWidth="1"/>
    <col min="24" max="231" width="9.140625" style="5"/>
    <col min="232" max="232" width="21.140625" style="5" customWidth="1"/>
    <col min="233" max="233" width="11" style="5" customWidth="1"/>
    <col min="234" max="234" width="9" style="5" customWidth="1"/>
    <col min="235" max="235" width="0.7109375" style="5" customWidth="1"/>
    <col min="236" max="236" width="11" style="5" customWidth="1"/>
    <col min="237" max="237" width="9.140625" style="5"/>
    <col min="238" max="238" width="0.7109375" style="5" customWidth="1"/>
    <col min="239" max="239" width="11" style="5" customWidth="1"/>
    <col min="240" max="240" width="9.140625" style="5"/>
    <col min="241" max="241" width="0.7109375" style="5" customWidth="1"/>
    <col min="242" max="242" width="16.42578125" style="5" customWidth="1"/>
    <col min="243" max="243" width="9.140625" style="5"/>
    <col min="244" max="244" width="0.7109375" style="5" customWidth="1"/>
    <col min="245" max="245" width="11" style="5" customWidth="1"/>
    <col min="246" max="246" width="9.140625" style="5"/>
    <col min="247" max="247" width="0.7109375" style="5" customWidth="1"/>
    <col min="248" max="248" width="11" style="5" customWidth="1"/>
    <col min="249" max="249" width="9.140625" style="5"/>
    <col min="250" max="250" width="0.7109375" style="5" customWidth="1"/>
    <col min="251" max="251" width="11" style="5" customWidth="1"/>
    <col min="252" max="252" width="9.140625" style="5"/>
    <col min="253" max="253" width="0.7109375" style="5" customWidth="1"/>
    <col min="254" max="254" width="11" style="5" customWidth="1"/>
    <col min="255" max="255" width="9.140625" style="5"/>
    <col min="256" max="256" width="0.7109375" style="5" customWidth="1"/>
    <col min="257" max="257" width="11" style="5" customWidth="1"/>
    <col min="258" max="487" width="9.140625" style="5"/>
    <col min="488" max="488" width="21.140625" style="5" customWidth="1"/>
    <col min="489" max="489" width="11" style="5" customWidth="1"/>
    <col min="490" max="490" width="9" style="5" customWidth="1"/>
    <col min="491" max="491" width="0.7109375" style="5" customWidth="1"/>
    <col min="492" max="492" width="11" style="5" customWidth="1"/>
    <col min="493" max="493" width="9.140625" style="5"/>
    <col min="494" max="494" width="0.7109375" style="5" customWidth="1"/>
    <col min="495" max="495" width="11" style="5" customWidth="1"/>
    <col min="496" max="496" width="9.140625" style="5"/>
    <col min="497" max="497" width="0.7109375" style="5" customWidth="1"/>
    <col min="498" max="498" width="16.42578125" style="5" customWidth="1"/>
    <col min="499" max="499" width="9.140625" style="5"/>
    <col min="500" max="500" width="0.7109375" style="5" customWidth="1"/>
    <col min="501" max="501" width="11" style="5" customWidth="1"/>
    <col min="502" max="502" width="9.140625" style="5"/>
    <col min="503" max="503" width="0.7109375" style="5" customWidth="1"/>
    <col min="504" max="504" width="11" style="5" customWidth="1"/>
    <col min="505" max="505" width="9.140625" style="5"/>
    <col min="506" max="506" width="0.7109375" style="5" customWidth="1"/>
    <col min="507" max="507" width="11" style="5" customWidth="1"/>
    <col min="508" max="508" width="9.140625" style="5"/>
    <col min="509" max="509" width="0.7109375" style="5" customWidth="1"/>
    <col min="510" max="510" width="11" style="5" customWidth="1"/>
    <col min="511" max="511" width="9.140625" style="5"/>
    <col min="512" max="512" width="0.7109375" style="5" customWidth="1"/>
    <col min="513" max="513" width="11" style="5" customWidth="1"/>
    <col min="514" max="743" width="9.140625" style="5"/>
    <col min="744" max="744" width="21.140625" style="5" customWidth="1"/>
    <col min="745" max="745" width="11" style="5" customWidth="1"/>
    <col min="746" max="746" width="9" style="5" customWidth="1"/>
    <col min="747" max="747" width="0.7109375" style="5" customWidth="1"/>
    <col min="748" max="748" width="11" style="5" customWidth="1"/>
    <col min="749" max="749" width="9.140625" style="5"/>
    <col min="750" max="750" width="0.7109375" style="5" customWidth="1"/>
    <col min="751" max="751" width="11" style="5" customWidth="1"/>
    <col min="752" max="752" width="9.140625" style="5"/>
    <col min="753" max="753" width="0.7109375" style="5" customWidth="1"/>
    <col min="754" max="754" width="16.42578125" style="5" customWidth="1"/>
    <col min="755" max="755" width="9.140625" style="5"/>
    <col min="756" max="756" width="0.7109375" style="5" customWidth="1"/>
    <col min="757" max="757" width="11" style="5" customWidth="1"/>
    <col min="758" max="758" width="9.140625" style="5"/>
    <col min="759" max="759" width="0.7109375" style="5" customWidth="1"/>
    <col min="760" max="760" width="11" style="5" customWidth="1"/>
    <col min="761" max="761" width="9.140625" style="5"/>
    <col min="762" max="762" width="0.7109375" style="5" customWidth="1"/>
    <col min="763" max="763" width="11" style="5" customWidth="1"/>
    <col min="764" max="764" width="9.140625" style="5"/>
    <col min="765" max="765" width="0.7109375" style="5" customWidth="1"/>
    <col min="766" max="766" width="11" style="5" customWidth="1"/>
    <col min="767" max="767" width="9.140625" style="5"/>
    <col min="768" max="768" width="0.7109375" style="5" customWidth="1"/>
    <col min="769" max="769" width="11" style="5" customWidth="1"/>
    <col min="770" max="999" width="9.140625" style="5"/>
    <col min="1000" max="1000" width="21.140625" style="5" customWidth="1"/>
    <col min="1001" max="1001" width="11" style="5" customWidth="1"/>
    <col min="1002" max="1002" width="9" style="5" customWidth="1"/>
    <col min="1003" max="1003" width="0.7109375" style="5" customWidth="1"/>
    <col min="1004" max="1004" width="11" style="5" customWidth="1"/>
    <col min="1005" max="1005" width="9.140625" style="5"/>
    <col min="1006" max="1006" width="0.7109375" style="5" customWidth="1"/>
    <col min="1007" max="1007" width="11" style="5" customWidth="1"/>
    <col min="1008" max="1008" width="9.140625" style="5"/>
    <col min="1009" max="1009" width="0.7109375" style="5" customWidth="1"/>
    <col min="1010" max="1010" width="16.42578125" style="5" customWidth="1"/>
    <col min="1011" max="1011" width="9.140625" style="5"/>
    <col min="1012" max="1012" width="0.7109375" style="5" customWidth="1"/>
    <col min="1013" max="1013" width="11" style="5" customWidth="1"/>
    <col min="1014" max="1014" width="9.140625" style="5"/>
    <col min="1015" max="1015" width="0.7109375" style="5" customWidth="1"/>
    <col min="1016" max="1016" width="11" style="5" customWidth="1"/>
    <col min="1017" max="1017" width="9.140625" style="5"/>
    <col min="1018" max="1018" width="0.7109375" style="5" customWidth="1"/>
    <col min="1019" max="1019" width="11" style="5" customWidth="1"/>
    <col min="1020" max="1020" width="9.140625" style="5"/>
    <col min="1021" max="1021" width="0.7109375" style="5" customWidth="1"/>
    <col min="1022" max="1022" width="11" style="5" customWidth="1"/>
    <col min="1023" max="1023" width="9.140625" style="5"/>
    <col min="1024" max="1024" width="0.7109375" style="5" customWidth="1"/>
    <col min="1025" max="1025" width="11" style="5" customWidth="1"/>
    <col min="1026" max="1255" width="9.140625" style="5"/>
    <col min="1256" max="1256" width="21.140625" style="5" customWidth="1"/>
    <col min="1257" max="1257" width="11" style="5" customWidth="1"/>
    <col min="1258" max="1258" width="9" style="5" customWidth="1"/>
    <col min="1259" max="1259" width="0.7109375" style="5" customWidth="1"/>
    <col min="1260" max="1260" width="11" style="5" customWidth="1"/>
    <col min="1261" max="1261" width="9.140625" style="5"/>
    <col min="1262" max="1262" width="0.7109375" style="5" customWidth="1"/>
    <col min="1263" max="1263" width="11" style="5" customWidth="1"/>
    <col min="1264" max="1264" width="9.140625" style="5"/>
    <col min="1265" max="1265" width="0.7109375" style="5" customWidth="1"/>
    <col min="1266" max="1266" width="16.42578125" style="5" customWidth="1"/>
    <col min="1267" max="1267" width="9.140625" style="5"/>
    <col min="1268" max="1268" width="0.7109375" style="5" customWidth="1"/>
    <col min="1269" max="1269" width="11" style="5" customWidth="1"/>
    <col min="1270" max="1270" width="9.140625" style="5"/>
    <col min="1271" max="1271" width="0.7109375" style="5" customWidth="1"/>
    <col min="1272" max="1272" width="11" style="5" customWidth="1"/>
    <col min="1273" max="1273" width="9.140625" style="5"/>
    <col min="1274" max="1274" width="0.7109375" style="5" customWidth="1"/>
    <col min="1275" max="1275" width="11" style="5" customWidth="1"/>
    <col min="1276" max="1276" width="9.140625" style="5"/>
    <col min="1277" max="1277" width="0.7109375" style="5" customWidth="1"/>
    <col min="1278" max="1278" width="11" style="5" customWidth="1"/>
    <col min="1279" max="1279" width="9.140625" style="5"/>
    <col min="1280" max="1280" width="0.7109375" style="5" customWidth="1"/>
    <col min="1281" max="1281" width="11" style="5" customWidth="1"/>
    <col min="1282" max="1511" width="9.140625" style="5"/>
    <col min="1512" max="1512" width="21.140625" style="5" customWidth="1"/>
    <col min="1513" max="1513" width="11" style="5" customWidth="1"/>
    <col min="1514" max="1514" width="9" style="5" customWidth="1"/>
    <col min="1515" max="1515" width="0.7109375" style="5" customWidth="1"/>
    <col min="1516" max="1516" width="11" style="5" customWidth="1"/>
    <col min="1517" max="1517" width="9.140625" style="5"/>
    <col min="1518" max="1518" width="0.7109375" style="5" customWidth="1"/>
    <col min="1519" max="1519" width="11" style="5" customWidth="1"/>
    <col min="1520" max="1520" width="9.140625" style="5"/>
    <col min="1521" max="1521" width="0.7109375" style="5" customWidth="1"/>
    <col min="1522" max="1522" width="16.42578125" style="5" customWidth="1"/>
    <col min="1523" max="1523" width="9.140625" style="5"/>
    <col min="1524" max="1524" width="0.7109375" style="5" customWidth="1"/>
    <col min="1525" max="1525" width="11" style="5" customWidth="1"/>
    <col min="1526" max="1526" width="9.140625" style="5"/>
    <col min="1527" max="1527" width="0.7109375" style="5" customWidth="1"/>
    <col min="1528" max="1528" width="11" style="5" customWidth="1"/>
    <col min="1529" max="1529" width="9.140625" style="5"/>
    <col min="1530" max="1530" width="0.7109375" style="5" customWidth="1"/>
    <col min="1531" max="1531" width="11" style="5" customWidth="1"/>
    <col min="1532" max="1532" width="9.140625" style="5"/>
    <col min="1533" max="1533" width="0.7109375" style="5" customWidth="1"/>
    <col min="1534" max="1534" width="11" style="5" customWidth="1"/>
    <col min="1535" max="1535" width="9.140625" style="5"/>
    <col min="1536" max="1536" width="0.7109375" style="5" customWidth="1"/>
    <col min="1537" max="1537" width="11" style="5" customWidth="1"/>
    <col min="1538" max="1767" width="9.140625" style="5"/>
    <col min="1768" max="1768" width="21.140625" style="5" customWidth="1"/>
    <col min="1769" max="1769" width="11" style="5" customWidth="1"/>
    <col min="1770" max="1770" width="9" style="5" customWidth="1"/>
    <col min="1771" max="1771" width="0.7109375" style="5" customWidth="1"/>
    <col min="1772" max="1772" width="11" style="5" customWidth="1"/>
    <col min="1773" max="1773" width="9.140625" style="5"/>
    <col min="1774" max="1774" width="0.7109375" style="5" customWidth="1"/>
    <col min="1775" max="1775" width="11" style="5" customWidth="1"/>
    <col min="1776" max="1776" width="9.140625" style="5"/>
    <col min="1777" max="1777" width="0.7109375" style="5" customWidth="1"/>
    <col min="1778" max="1778" width="16.42578125" style="5" customWidth="1"/>
    <col min="1779" max="1779" width="9.140625" style="5"/>
    <col min="1780" max="1780" width="0.7109375" style="5" customWidth="1"/>
    <col min="1781" max="1781" width="11" style="5" customWidth="1"/>
    <col min="1782" max="1782" width="9.140625" style="5"/>
    <col min="1783" max="1783" width="0.7109375" style="5" customWidth="1"/>
    <col min="1784" max="1784" width="11" style="5" customWidth="1"/>
    <col min="1785" max="1785" width="9.140625" style="5"/>
    <col min="1786" max="1786" width="0.7109375" style="5" customWidth="1"/>
    <col min="1787" max="1787" width="11" style="5" customWidth="1"/>
    <col min="1788" max="1788" width="9.140625" style="5"/>
    <col min="1789" max="1789" width="0.7109375" style="5" customWidth="1"/>
    <col min="1790" max="1790" width="11" style="5" customWidth="1"/>
    <col min="1791" max="1791" width="9.140625" style="5"/>
    <col min="1792" max="1792" width="0.7109375" style="5" customWidth="1"/>
    <col min="1793" max="1793" width="11" style="5" customWidth="1"/>
    <col min="1794" max="2023" width="9.140625" style="5"/>
    <col min="2024" max="2024" width="21.140625" style="5" customWidth="1"/>
    <col min="2025" max="2025" width="11" style="5" customWidth="1"/>
    <col min="2026" max="2026" width="9" style="5" customWidth="1"/>
    <col min="2027" max="2027" width="0.7109375" style="5" customWidth="1"/>
    <col min="2028" max="2028" width="11" style="5" customWidth="1"/>
    <col min="2029" max="2029" width="9.140625" style="5"/>
    <col min="2030" max="2030" width="0.7109375" style="5" customWidth="1"/>
    <col min="2031" max="2031" width="11" style="5" customWidth="1"/>
    <col min="2032" max="2032" width="9.140625" style="5"/>
    <col min="2033" max="2033" width="0.7109375" style="5" customWidth="1"/>
    <col min="2034" max="2034" width="16.42578125" style="5" customWidth="1"/>
    <col min="2035" max="2035" width="9.140625" style="5"/>
    <col min="2036" max="2036" width="0.7109375" style="5" customWidth="1"/>
    <col min="2037" max="2037" width="11" style="5" customWidth="1"/>
    <col min="2038" max="2038" width="9.140625" style="5"/>
    <col min="2039" max="2039" width="0.7109375" style="5" customWidth="1"/>
    <col min="2040" max="2040" width="11" style="5" customWidth="1"/>
    <col min="2041" max="2041" width="9.140625" style="5"/>
    <col min="2042" max="2042" width="0.7109375" style="5" customWidth="1"/>
    <col min="2043" max="2043" width="11" style="5" customWidth="1"/>
    <col min="2044" max="2044" width="9.140625" style="5"/>
    <col min="2045" max="2045" width="0.7109375" style="5" customWidth="1"/>
    <col min="2046" max="2046" width="11" style="5" customWidth="1"/>
    <col min="2047" max="2047" width="9.140625" style="5"/>
    <col min="2048" max="2048" width="0.7109375" style="5" customWidth="1"/>
    <col min="2049" max="2049" width="11" style="5" customWidth="1"/>
    <col min="2050" max="2279" width="9.140625" style="5"/>
    <col min="2280" max="2280" width="21.140625" style="5" customWidth="1"/>
    <col min="2281" max="2281" width="11" style="5" customWidth="1"/>
    <col min="2282" max="2282" width="9" style="5" customWidth="1"/>
    <col min="2283" max="2283" width="0.7109375" style="5" customWidth="1"/>
    <col min="2284" max="2284" width="11" style="5" customWidth="1"/>
    <col min="2285" max="2285" width="9.140625" style="5"/>
    <col min="2286" max="2286" width="0.7109375" style="5" customWidth="1"/>
    <col min="2287" max="2287" width="11" style="5" customWidth="1"/>
    <col min="2288" max="2288" width="9.140625" style="5"/>
    <col min="2289" max="2289" width="0.7109375" style="5" customWidth="1"/>
    <col min="2290" max="2290" width="16.42578125" style="5" customWidth="1"/>
    <col min="2291" max="2291" width="9.140625" style="5"/>
    <col min="2292" max="2292" width="0.7109375" style="5" customWidth="1"/>
    <col min="2293" max="2293" width="11" style="5" customWidth="1"/>
    <col min="2294" max="2294" width="9.140625" style="5"/>
    <col min="2295" max="2295" width="0.7109375" style="5" customWidth="1"/>
    <col min="2296" max="2296" width="11" style="5" customWidth="1"/>
    <col min="2297" max="2297" width="9.140625" style="5"/>
    <col min="2298" max="2298" width="0.7109375" style="5" customWidth="1"/>
    <col min="2299" max="2299" width="11" style="5" customWidth="1"/>
    <col min="2300" max="2300" width="9.140625" style="5"/>
    <col min="2301" max="2301" width="0.7109375" style="5" customWidth="1"/>
    <col min="2302" max="2302" width="11" style="5" customWidth="1"/>
    <col min="2303" max="2303" width="9.140625" style="5"/>
    <col min="2304" max="2304" width="0.7109375" style="5" customWidth="1"/>
    <col min="2305" max="2305" width="11" style="5" customWidth="1"/>
    <col min="2306" max="2535" width="9.140625" style="5"/>
    <col min="2536" max="2536" width="21.140625" style="5" customWidth="1"/>
    <col min="2537" max="2537" width="11" style="5" customWidth="1"/>
    <col min="2538" max="2538" width="9" style="5" customWidth="1"/>
    <col min="2539" max="2539" width="0.7109375" style="5" customWidth="1"/>
    <col min="2540" max="2540" width="11" style="5" customWidth="1"/>
    <col min="2541" max="2541" width="9.140625" style="5"/>
    <col min="2542" max="2542" width="0.7109375" style="5" customWidth="1"/>
    <col min="2543" max="2543" width="11" style="5" customWidth="1"/>
    <col min="2544" max="2544" width="9.140625" style="5"/>
    <col min="2545" max="2545" width="0.7109375" style="5" customWidth="1"/>
    <col min="2546" max="2546" width="16.42578125" style="5" customWidth="1"/>
    <col min="2547" max="2547" width="9.140625" style="5"/>
    <col min="2548" max="2548" width="0.7109375" style="5" customWidth="1"/>
    <col min="2549" max="2549" width="11" style="5" customWidth="1"/>
    <col min="2550" max="2550" width="9.140625" style="5"/>
    <col min="2551" max="2551" width="0.7109375" style="5" customWidth="1"/>
    <col min="2552" max="2552" width="11" style="5" customWidth="1"/>
    <col min="2553" max="2553" width="9.140625" style="5"/>
    <col min="2554" max="2554" width="0.7109375" style="5" customWidth="1"/>
    <col min="2555" max="2555" width="11" style="5" customWidth="1"/>
    <col min="2556" max="2556" width="9.140625" style="5"/>
    <col min="2557" max="2557" width="0.7109375" style="5" customWidth="1"/>
    <col min="2558" max="2558" width="11" style="5" customWidth="1"/>
    <col min="2559" max="2559" width="9.140625" style="5"/>
    <col min="2560" max="2560" width="0.7109375" style="5" customWidth="1"/>
    <col min="2561" max="2561" width="11" style="5" customWidth="1"/>
    <col min="2562" max="2791" width="9.140625" style="5"/>
    <col min="2792" max="2792" width="21.140625" style="5" customWidth="1"/>
    <col min="2793" max="2793" width="11" style="5" customWidth="1"/>
    <col min="2794" max="2794" width="9" style="5" customWidth="1"/>
    <col min="2795" max="2795" width="0.7109375" style="5" customWidth="1"/>
    <col min="2796" max="2796" width="11" style="5" customWidth="1"/>
    <col min="2797" max="2797" width="9.140625" style="5"/>
    <col min="2798" max="2798" width="0.7109375" style="5" customWidth="1"/>
    <col min="2799" max="2799" width="11" style="5" customWidth="1"/>
    <col min="2800" max="2800" width="9.140625" style="5"/>
    <col min="2801" max="2801" width="0.7109375" style="5" customWidth="1"/>
    <col min="2802" max="2802" width="16.42578125" style="5" customWidth="1"/>
    <col min="2803" max="2803" width="9.140625" style="5"/>
    <col min="2804" max="2804" width="0.7109375" style="5" customWidth="1"/>
    <col min="2805" max="2805" width="11" style="5" customWidth="1"/>
    <col min="2806" max="2806" width="9.140625" style="5"/>
    <col min="2807" max="2807" width="0.7109375" style="5" customWidth="1"/>
    <col min="2808" max="2808" width="11" style="5" customWidth="1"/>
    <col min="2809" max="2809" width="9.140625" style="5"/>
    <col min="2810" max="2810" width="0.7109375" style="5" customWidth="1"/>
    <col min="2811" max="2811" width="11" style="5" customWidth="1"/>
    <col min="2812" max="2812" width="9.140625" style="5"/>
    <col min="2813" max="2813" width="0.7109375" style="5" customWidth="1"/>
    <col min="2814" max="2814" width="11" style="5" customWidth="1"/>
    <col min="2815" max="2815" width="9.140625" style="5"/>
    <col min="2816" max="2816" width="0.7109375" style="5" customWidth="1"/>
    <col min="2817" max="2817" width="11" style="5" customWidth="1"/>
    <col min="2818" max="3047" width="9.140625" style="5"/>
    <col min="3048" max="3048" width="21.140625" style="5" customWidth="1"/>
    <col min="3049" max="3049" width="11" style="5" customWidth="1"/>
    <col min="3050" max="3050" width="9" style="5" customWidth="1"/>
    <col min="3051" max="3051" width="0.7109375" style="5" customWidth="1"/>
    <col min="3052" max="3052" width="11" style="5" customWidth="1"/>
    <col min="3053" max="3053" width="9.140625" style="5"/>
    <col min="3054" max="3054" width="0.7109375" style="5" customWidth="1"/>
    <col min="3055" max="3055" width="11" style="5" customWidth="1"/>
    <col min="3056" max="3056" width="9.140625" style="5"/>
    <col min="3057" max="3057" width="0.7109375" style="5" customWidth="1"/>
    <col min="3058" max="3058" width="16.42578125" style="5" customWidth="1"/>
    <col min="3059" max="3059" width="9.140625" style="5"/>
    <col min="3060" max="3060" width="0.7109375" style="5" customWidth="1"/>
    <col min="3061" max="3061" width="11" style="5" customWidth="1"/>
    <col min="3062" max="3062" width="9.140625" style="5"/>
    <col min="3063" max="3063" width="0.7109375" style="5" customWidth="1"/>
    <col min="3064" max="3064" width="11" style="5" customWidth="1"/>
    <col min="3065" max="3065" width="9.140625" style="5"/>
    <col min="3066" max="3066" width="0.7109375" style="5" customWidth="1"/>
    <col min="3067" max="3067" width="11" style="5" customWidth="1"/>
    <col min="3068" max="3068" width="9.140625" style="5"/>
    <col min="3069" max="3069" width="0.7109375" style="5" customWidth="1"/>
    <col min="3070" max="3070" width="11" style="5" customWidth="1"/>
    <col min="3071" max="3071" width="9.140625" style="5"/>
    <col min="3072" max="3072" width="0.7109375" style="5" customWidth="1"/>
    <col min="3073" max="3073" width="11" style="5" customWidth="1"/>
    <col min="3074" max="3303" width="9.140625" style="5"/>
    <col min="3304" max="3304" width="21.140625" style="5" customWidth="1"/>
    <col min="3305" max="3305" width="11" style="5" customWidth="1"/>
    <col min="3306" max="3306" width="9" style="5" customWidth="1"/>
    <col min="3307" max="3307" width="0.7109375" style="5" customWidth="1"/>
    <col min="3308" max="3308" width="11" style="5" customWidth="1"/>
    <col min="3309" max="3309" width="9.140625" style="5"/>
    <col min="3310" max="3310" width="0.7109375" style="5" customWidth="1"/>
    <col min="3311" max="3311" width="11" style="5" customWidth="1"/>
    <col min="3312" max="3312" width="9.140625" style="5"/>
    <col min="3313" max="3313" width="0.7109375" style="5" customWidth="1"/>
    <col min="3314" max="3314" width="16.42578125" style="5" customWidth="1"/>
    <col min="3315" max="3315" width="9.140625" style="5"/>
    <col min="3316" max="3316" width="0.7109375" style="5" customWidth="1"/>
    <col min="3317" max="3317" width="11" style="5" customWidth="1"/>
    <col min="3318" max="3318" width="9.140625" style="5"/>
    <col min="3319" max="3319" width="0.7109375" style="5" customWidth="1"/>
    <col min="3320" max="3320" width="11" style="5" customWidth="1"/>
    <col min="3321" max="3321" width="9.140625" style="5"/>
    <col min="3322" max="3322" width="0.7109375" style="5" customWidth="1"/>
    <col min="3323" max="3323" width="11" style="5" customWidth="1"/>
    <col min="3324" max="3324" width="9.140625" style="5"/>
    <col min="3325" max="3325" width="0.7109375" style="5" customWidth="1"/>
    <col min="3326" max="3326" width="11" style="5" customWidth="1"/>
    <col min="3327" max="3327" width="9.140625" style="5"/>
    <col min="3328" max="3328" width="0.7109375" style="5" customWidth="1"/>
    <col min="3329" max="3329" width="11" style="5" customWidth="1"/>
    <col min="3330" max="3559" width="9.140625" style="5"/>
    <col min="3560" max="3560" width="21.140625" style="5" customWidth="1"/>
    <col min="3561" max="3561" width="11" style="5" customWidth="1"/>
    <col min="3562" max="3562" width="9" style="5" customWidth="1"/>
    <col min="3563" max="3563" width="0.7109375" style="5" customWidth="1"/>
    <col min="3564" max="3564" width="11" style="5" customWidth="1"/>
    <col min="3565" max="3565" width="9.140625" style="5"/>
    <col min="3566" max="3566" width="0.7109375" style="5" customWidth="1"/>
    <col min="3567" max="3567" width="11" style="5" customWidth="1"/>
    <col min="3568" max="3568" width="9.140625" style="5"/>
    <col min="3569" max="3569" width="0.7109375" style="5" customWidth="1"/>
    <col min="3570" max="3570" width="16.42578125" style="5" customWidth="1"/>
    <col min="3571" max="3571" width="9.140625" style="5"/>
    <col min="3572" max="3572" width="0.7109375" style="5" customWidth="1"/>
    <col min="3573" max="3573" width="11" style="5" customWidth="1"/>
    <col min="3574" max="3574" width="9.140625" style="5"/>
    <col min="3575" max="3575" width="0.7109375" style="5" customWidth="1"/>
    <col min="3576" max="3576" width="11" style="5" customWidth="1"/>
    <col min="3577" max="3577" width="9.140625" style="5"/>
    <col min="3578" max="3578" width="0.7109375" style="5" customWidth="1"/>
    <col min="3579" max="3579" width="11" style="5" customWidth="1"/>
    <col min="3580" max="3580" width="9.140625" style="5"/>
    <col min="3581" max="3581" width="0.7109375" style="5" customWidth="1"/>
    <col min="3582" max="3582" width="11" style="5" customWidth="1"/>
    <col min="3583" max="3583" width="9.140625" style="5"/>
    <col min="3584" max="3584" width="0.7109375" style="5" customWidth="1"/>
    <col min="3585" max="3585" width="11" style="5" customWidth="1"/>
    <col min="3586" max="3815" width="9.140625" style="5"/>
    <col min="3816" max="3816" width="21.140625" style="5" customWidth="1"/>
    <col min="3817" max="3817" width="11" style="5" customWidth="1"/>
    <col min="3818" max="3818" width="9" style="5" customWidth="1"/>
    <col min="3819" max="3819" width="0.7109375" style="5" customWidth="1"/>
    <col min="3820" max="3820" width="11" style="5" customWidth="1"/>
    <col min="3821" max="3821" width="9.140625" style="5"/>
    <col min="3822" max="3822" width="0.7109375" style="5" customWidth="1"/>
    <col min="3823" max="3823" width="11" style="5" customWidth="1"/>
    <col min="3824" max="3824" width="9.140625" style="5"/>
    <col min="3825" max="3825" width="0.7109375" style="5" customWidth="1"/>
    <col min="3826" max="3826" width="16.42578125" style="5" customWidth="1"/>
    <col min="3827" max="3827" width="9.140625" style="5"/>
    <col min="3828" max="3828" width="0.7109375" style="5" customWidth="1"/>
    <col min="3829" max="3829" width="11" style="5" customWidth="1"/>
    <col min="3830" max="3830" width="9.140625" style="5"/>
    <col min="3831" max="3831" width="0.7109375" style="5" customWidth="1"/>
    <col min="3832" max="3832" width="11" style="5" customWidth="1"/>
    <col min="3833" max="3833" width="9.140625" style="5"/>
    <col min="3834" max="3834" width="0.7109375" style="5" customWidth="1"/>
    <col min="3835" max="3835" width="11" style="5" customWidth="1"/>
    <col min="3836" max="3836" width="9.140625" style="5"/>
    <col min="3837" max="3837" width="0.7109375" style="5" customWidth="1"/>
    <col min="3838" max="3838" width="11" style="5" customWidth="1"/>
    <col min="3839" max="3839" width="9.140625" style="5"/>
    <col min="3840" max="3840" width="0.7109375" style="5" customWidth="1"/>
    <col min="3841" max="3841" width="11" style="5" customWidth="1"/>
    <col min="3842" max="4071" width="9.140625" style="5"/>
    <col min="4072" max="4072" width="21.140625" style="5" customWidth="1"/>
    <col min="4073" max="4073" width="11" style="5" customWidth="1"/>
    <col min="4074" max="4074" width="9" style="5" customWidth="1"/>
    <col min="4075" max="4075" width="0.7109375" style="5" customWidth="1"/>
    <col min="4076" max="4076" width="11" style="5" customWidth="1"/>
    <col min="4077" max="4077" width="9.140625" style="5"/>
    <col min="4078" max="4078" width="0.7109375" style="5" customWidth="1"/>
    <col min="4079" max="4079" width="11" style="5" customWidth="1"/>
    <col min="4080" max="4080" width="9.140625" style="5"/>
    <col min="4081" max="4081" width="0.7109375" style="5" customWidth="1"/>
    <col min="4082" max="4082" width="16.42578125" style="5" customWidth="1"/>
    <col min="4083" max="4083" width="9.140625" style="5"/>
    <col min="4084" max="4084" width="0.7109375" style="5" customWidth="1"/>
    <col min="4085" max="4085" width="11" style="5" customWidth="1"/>
    <col min="4086" max="4086" width="9.140625" style="5"/>
    <col min="4087" max="4087" width="0.7109375" style="5" customWidth="1"/>
    <col min="4088" max="4088" width="11" style="5" customWidth="1"/>
    <col min="4089" max="4089" width="9.140625" style="5"/>
    <col min="4090" max="4090" width="0.7109375" style="5" customWidth="1"/>
    <col min="4091" max="4091" width="11" style="5" customWidth="1"/>
    <col min="4092" max="4092" width="9.140625" style="5"/>
    <col min="4093" max="4093" width="0.7109375" style="5" customWidth="1"/>
    <col min="4094" max="4094" width="11" style="5" customWidth="1"/>
    <col min="4095" max="4095" width="9.140625" style="5"/>
    <col min="4096" max="4096" width="0.7109375" style="5" customWidth="1"/>
    <col min="4097" max="4097" width="11" style="5" customWidth="1"/>
    <col min="4098" max="4327" width="9.140625" style="5"/>
    <col min="4328" max="4328" width="21.140625" style="5" customWidth="1"/>
    <col min="4329" max="4329" width="11" style="5" customWidth="1"/>
    <col min="4330" max="4330" width="9" style="5" customWidth="1"/>
    <col min="4331" max="4331" width="0.7109375" style="5" customWidth="1"/>
    <col min="4332" max="4332" width="11" style="5" customWidth="1"/>
    <col min="4333" max="4333" width="9.140625" style="5"/>
    <col min="4334" max="4334" width="0.7109375" style="5" customWidth="1"/>
    <col min="4335" max="4335" width="11" style="5" customWidth="1"/>
    <col min="4336" max="4336" width="9.140625" style="5"/>
    <col min="4337" max="4337" width="0.7109375" style="5" customWidth="1"/>
    <col min="4338" max="4338" width="16.42578125" style="5" customWidth="1"/>
    <col min="4339" max="4339" width="9.140625" style="5"/>
    <col min="4340" max="4340" width="0.7109375" style="5" customWidth="1"/>
    <col min="4341" max="4341" width="11" style="5" customWidth="1"/>
    <col min="4342" max="4342" width="9.140625" style="5"/>
    <col min="4343" max="4343" width="0.7109375" style="5" customWidth="1"/>
    <col min="4344" max="4344" width="11" style="5" customWidth="1"/>
    <col min="4345" max="4345" width="9.140625" style="5"/>
    <col min="4346" max="4346" width="0.7109375" style="5" customWidth="1"/>
    <col min="4347" max="4347" width="11" style="5" customWidth="1"/>
    <col min="4348" max="4348" width="9.140625" style="5"/>
    <col min="4349" max="4349" width="0.7109375" style="5" customWidth="1"/>
    <col min="4350" max="4350" width="11" style="5" customWidth="1"/>
    <col min="4351" max="4351" width="9.140625" style="5"/>
    <col min="4352" max="4352" width="0.7109375" style="5" customWidth="1"/>
    <col min="4353" max="4353" width="11" style="5" customWidth="1"/>
    <col min="4354" max="4583" width="9.140625" style="5"/>
    <col min="4584" max="4584" width="21.140625" style="5" customWidth="1"/>
    <col min="4585" max="4585" width="11" style="5" customWidth="1"/>
    <col min="4586" max="4586" width="9" style="5" customWidth="1"/>
    <col min="4587" max="4587" width="0.7109375" style="5" customWidth="1"/>
    <col min="4588" max="4588" width="11" style="5" customWidth="1"/>
    <col min="4589" max="4589" width="9.140625" style="5"/>
    <col min="4590" max="4590" width="0.7109375" style="5" customWidth="1"/>
    <col min="4591" max="4591" width="11" style="5" customWidth="1"/>
    <col min="4592" max="4592" width="9.140625" style="5"/>
    <col min="4593" max="4593" width="0.7109375" style="5" customWidth="1"/>
    <col min="4594" max="4594" width="16.42578125" style="5" customWidth="1"/>
    <col min="4595" max="4595" width="9.140625" style="5"/>
    <col min="4596" max="4596" width="0.7109375" style="5" customWidth="1"/>
    <col min="4597" max="4597" width="11" style="5" customWidth="1"/>
    <col min="4598" max="4598" width="9.140625" style="5"/>
    <col min="4599" max="4599" width="0.7109375" style="5" customWidth="1"/>
    <col min="4600" max="4600" width="11" style="5" customWidth="1"/>
    <col min="4601" max="4601" width="9.140625" style="5"/>
    <col min="4602" max="4602" width="0.7109375" style="5" customWidth="1"/>
    <col min="4603" max="4603" width="11" style="5" customWidth="1"/>
    <col min="4604" max="4604" width="9.140625" style="5"/>
    <col min="4605" max="4605" width="0.7109375" style="5" customWidth="1"/>
    <col min="4606" max="4606" width="11" style="5" customWidth="1"/>
    <col min="4607" max="4607" width="9.140625" style="5"/>
    <col min="4608" max="4608" width="0.7109375" style="5" customWidth="1"/>
    <col min="4609" max="4609" width="11" style="5" customWidth="1"/>
    <col min="4610" max="4839" width="9.140625" style="5"/>
    <col min="4840" max="4840" width="21.140625" style="5" customWidth="1"/>
    <col min="4841" max="4841" width="11" style="5" customWidth="1"/>
    <col min="4842" max="4842" width="9" style="5" customWidth="1"/>
    <col min="4843" max="4843" width="0.7109375" style="5" customWidth="1"/>
    <col min="4844" max="4844" width="11" style="5" customWidth="1"/>
    <col min="4845" max="4845" width="9.140625" style="5"/>
    <col min="4846" max="4846" width="0.7109375" style="5" customWidth="1"/>
    <col min="4847" max="4847" width="11" style="5" customWidth="1"/>
    <col min="4848" max="4848" width="9.140625" style="5"/>
    <col min="4849" max="4849" width="0.7109375" style="5" customWidth="1"/>
    <col min="4850" max="4850" width="16.42578125" style="5" customWidth="1"/>
    <col min="4851" max="4851" width="9.140625" style="5"/>
    <col min="4852" max="4852" width="0.7109375" style="5" customWidth="1"/>
    <col min="4853" max="4853" width="11" style="5" customWidth="1"/>
    <col min="4854" max="4854" width="9.140625" style="5"/>
    <col min="4855" max="4855" width="0.7109375" style="5" customWidth="1"/>
    <col min="4856" max="4856" width="11" style="5" customWidth="1"/>
    <col min="4857" max="4857" width="9.140625" style="5"/>
    <col min="4858" max="4858" width="0.7109375" style="5" customWidth="1"/>
    <col min="4859" max="4859" width="11" style="5" customWidth="1"/>
    <col min="4860" max="4860" width="9.140625" style="5"/>
    <col min="4861" max="4861" width="0.7109375" style="5" customWidth="1"/>
    <col min="4862" max="4862" width="11" style="5" customWidth="1"/>
    <col min="4863" max="4863" width="9.140625" style="5"/>
    <col min="4864" max="4864" width="0.7109375" style="5" customWidth="1"/>
    <col min="4865" max="4865" width="11" style="5" customWidth="1"/>
    <col min="4866" max="5095" width="9.140625" style="5"/>
    <col min="5096" max="5096" width="21.140625" style="5" customWidth="1"/>
    <col min="5097" max="5097" width="11" style="5" customWidth="1"/>
    <col min="5098" max="5098" width="9" style="5" customWidth="1"/>
    <col min="5099" max="5099" width="0.7109375" style="5" customWidth="1"/>
    <col min="5100" max="5100" width="11" style="5" customWidth="1"/>
    <col min="5101" max="5101" width="9.140625" style="5"/>
    <col min="5102" max="5102" width="0.7109375" style="5" customWidth="1"/>
    <col min="5103" max="5103" width="11" style="5" customWidth="1"/>
    <col min="5104" max="5104" width="9.140625" style="5"/>
    <col min="5105" max="5105" width="0.7109375" style="5" customWidth="1"/>
    <col min="5106" max="5106" width="16.42578125" style="5" customWidth="1"/>
    <col min="5107" max="5107" width="9.140625" style="5"/>
    <col min="5108" max="5108" width="0.7109375" style="5" customWidth="1"/>
    <col min="5109" max="5109" width="11" style="5" customWidth="1"/>
    <col min="5110" max="5110" width="9.140625" style="5"/>
    <col min="5111" max="5111" width="0.7109375" style="5" customWidth="1"/>
    <col min="5112" max="5112" width="11" style="5" customWidth="1"/>
    <col min="5113" max="5113" width="9.140625" style="5"/>
    <col min="5114" max="5114" width="0.7109375" style="5" customWidth="1"/>
    <col min="5115" max="5115" width="11" style="5" customWidth="1"/>
    <col min="5116" max="5116" width="9.140625" style="5"/>
    <col min="5117" max="5117" width="0.7109375" style="5" customWidth="1"/>
    <col min="5118" max="5118" width="11" style="5" customWidth="1"/>
    <col min="5119" max="5119" width="9.140625" style="5"/>
    <col min="5120" max="5120" width="0.7109375" style="5" customWidth="1"/>
    <col min="5121" max="5121" width="11" style="5" customWidth="1"/>
    <col min="5122" max="5351" width="9.140625" style="5"/>
    <col min="5352" max="5352" width="21.140625" style="5" customWidth="1"/>
    <col min="5353" max="5353" width="11" style="5" customWidth="1"/>
    <col min="5354" max="5354" width="9" style="5" customWidth="1"/>
    <col min="5355" max="5355" width="0.7109375" style="5" customWidth="1"/>
    <col min="5356" max="5356" width="11" style="5" customWidth="1"/>
    <col min="5357" max="5357" width="9.140625" style="5"/>
    <col min="5358" max="5358" width="0.7109375" style="5" customWidth="1"/>
    <col min="5359" max="5359" width="11" style="5" customWidth="1"/>
    <col min="5360" max="5360" width="9.140625" style="5"/>
    <col min="5361" max="5361" width="0.7109375" style="5" customWidth="1"/>
    <col min="5362" max="5362" width="16.42578125" style="5" customWidth="1"/>
    <col min="5363" max="5363" width="9.140625" style="5"/>
    <col min="5364" max="5364" width="0.7109375" style="5" customWidth="1"/>
    <col min="5365" max="5365" width="11" style="5" customWidth="1"/>
    <col min="5366" max="5366" width="9.140625" style="5"/>
    <col min="5367" max="5367" width="0.7109375" style="5" customWidth="1"/>
    <col min="5368" max="5368" width="11" style="5" customWidth="1"/>
    <col min="5369" max="5369" width="9.140625" style="5"/>
    <col min="5370" max="5370" width="0.7109375" style="5" customWidth="1"/>
    <col min="5371" max="5371" width="11" style="5" customWidth="1"/>
    <col min="5372" max="5372" width="9.140625" style="5"/>
    <col min="5373" max="5373" width="0.7109375" style="5" customWidth="1"/>
    <col min="5374" max="5374" width="11" style="5" customWidth="1"/>
    <col min="5375" max="5375" width="9.140625" style="5"/>
    <col min="5376" max="5376" width="0.7109375" style="5" customWidth="1"/>
    <col min="5377" max="5377" width="11" style="5" customWidth="1"/>
    <col min="5378" max="5607" width="9.140625" style="5"/>
    <col min="5608" max="5608" width="21.140625" style="5" customWidth="1"/>
    <col min="5609" max="5609" width="11" style="5" customWidth="1"/>
    <col min="5610" max="5610" width="9" style="5" customWidth="1"/>
    <col min="5611" max="5611" width="0.7109375" style="5" customWidth="1"/>
    <col min="5612" max="5612" width="11" style="5" customWidth="1"/>
    <col min="5613" max="5613" width="9.140625" style="5"/>
    <col min="5614" max="5614" width="0.7109375" style="5" customWidth="1"/>
    <col min="5615" max="5615" width="11" style="5" customWidth="1"/>
    <col min="5616" max="5616" width="9.140625" style="5"/>
    <col min="5617" max="5617" width="0.7109375" style="5" customWidth="1"/>
    <col min="5618" max="5618" width="16.42578125" style="5" customWidth="1"/>
    <col min="5619" max="5619" width="9.140625" style="5"/>
    <col min="5620" max="5620" width="0.7109375" style="5" customWidth="1"/>
    <col min="5621" max="5621" width="11" style="5" customWidth="1"/>
    <col min="5622" max="5622" width="9.140625" style="5"/>
    <col min="5623" max="5623" width="0.7109375" style="5" customWidth="1"/>
    <col min="5624" max="5624" width="11" style="5" customWidth="1"/>
    <col min="5625" max="5625" width="9.140625" style="5"/>
    <col min="5626" max="5626" width="0.7109375" style="5" customWidth="1"/>
    <col min="5627" max="5627" width="11" style="5" customWidth="1"/>
    <col min="5628" max="5628" width="9.140625" style="5"/>
    <col min="5629" max="5629" width="0.7109375" style="5" customWidth="1"/>
    <col min="5630" max="5630" width="11" style="5" customWidth="1"/>
    <col min="5631" max="5631" width="9.140625" style="5"/>
    <col min="5632" max="5632" width="0.7109375" style="5" customWidth="1"/>
    <col min="5633" max="5633" width="11" style="5" customWidth="1"/>
    <col min="5634" max="5863" width="9.140625" style="5"/>
    <col min="5864" max="5864" width="21.140625" style="5" customWidth="1"/>
    <col min="5865" max="5865" width="11" style="5" customWidth="1"/>
    <col min="5866" max="5866" width="9" style="5" customWidth="1"/>
    <col min="5867" max="5867" width="0.7109375" style="5" customWidth="1"/>
    <col min="5868" max="5868" width="11" style="5" customWidth="1"/>
    <col min="5869" max="5869" width="9.140625" style="5"/>
    <col min="5870" max="5870" width="0.7109375" style="5" customWidth="1"/>
    <col min="5871" max="5871" width="11" style="5" customWidth="1"/>
    <col min="5872" max="5872" width="9.140625" style="5"/>
    <col min="5873" max="5873" width="0.7109375" style="5" customWidth="1"/>
    <col min="5874" max="5874" width="16.42578125" style="5" customWidth="1"/>
    <col min="5875" max="5875" width="9.140625" style="5"/>
    <col min="5876" max="5876" width="0.7109375" style="5" customWidth="1"/>
    <col min="5877" max="5877" width="11" style="5" customWidth="1"/>
    <col min="5878" max="5878" width="9.140625" style="5"/>
    <col min="5879" max="5879" width="0.7109375" style="5" customWidth="1"/>
    <col min="5880" max="5880" width="11" style="5" customWidth="1"/>
    <col min="5881" max="5881" width="9.140625" style="5"/>
    <col min="5882" max="5882" width="0.7109375" style="5" customWidth="1"/>
    <col min="5883" max="5883" width="11" style="5" customWidth="1"/>
    <col min="5884" max="5884" width="9.140625" style="5"/>
    <col min="5885" max="5885" width="0.7109375" style="5" customWidth="1"/>
    <col min="5886" max="5886" width="11" style="5" customWidth="1"/>
    <col min="5887" max="5887" width="9.140625" style="5"/>
    <col min="5888" max="5888" width="0.7109375" style="5" customWidth="1"/>
    <col min="5889" max="5889" width="11" style="5" customWidth="1"/>
    <col min="5890" max="6119" width="9.140625" style="5"/>
    <col min="6120" max="6120" width="21.140625" style="5" customWidth="1"/>
    <col min="6121" max="6121" width="11" style="5" customWidth="1"/>
    <col min="6122" max="6122" width="9" style="5" customWidth="1"/>
    <col min="6123" max="6123" width="0.7109375" style="5" customWidth="1"/>
    <col min="6124" max="6124" width="11" style="5" customWidth="1"/>
    <col min="6125" max="6125" width="9.140625" style="5"/>
    <col min="6126" max="6126" width="0.7109375" style="5" customWidth="1"/>
    <col min="6127" max="6127" width="11" style="5" customWidth="1"/>
    <col min="6128" max="6128" width="9.140625" style="5"/>
    <col min="6129" max="6129" width="0.7109375" style="5" customWidth="1"/>
    <col min="6130" max="6130" width="16.42578125" style="5" customWidth="1"/>
    <col min="6131" max="6131" width="9.140625" style="5"/>
    <col min="6132" max="6132" width="0.7109375" style="5" customWidth="1"/>
    <col min="6133" max="6133" width="11" style="5" customWidth="1"/>
    <col min="6134" max="6134" width="9.140625" style="5"/>
    <col min="6135" max="6135" width="0.7109375" style="5" customWidth="1"/>
    <col min="6136" max="6136" width="11" style="5" customWidth="1"/>
    <col min="6137" max="6137" width="9.140625" style="5"/>
    <col min="6138" max="6138" width="0.7109375" style="5" customWidth="1"/>
    <col min="6139" max="6139" width="11" style="5" customWidth="1"/>
    <col min="6140" max="6140" width="9.140625" style="5"/>
    <col min="6141" max="6141" width="0.7109375" style="5" customWidth="1"/>
    <col min="6142" max="6142" width="11" style="5" customWidth="1"/>
    <col min="6143" max="6143" width="9.140625" style="5"/>
    <col min="6144" max="6144" width="0.7109375" style="5" customWidth="1"/>
    <col min="6145" max="6145" width="11" style="5" customWidth="1"/>
    <col min="6146" max="6375" width="9.140625" style="5"/>
    <col min="6376" max="6376" width="21.140625" style="5" customWidth="1"/>
    <col min="6377" max="6377" width="11" style="5" customWidth="1"/>
    <col min="6378" max="6378" width="9" style="5" customWidth="1"/>
    <col min="6379" max="6379" width="0.7109375" style="5" customWidth="1"/>
    <col min="6380" max="6380" width="11" style="5" customWidth="1"/>
    <col min="6381" max="6381" width="9.140625" style="5"/>
    <col min="6382" max="6382" width="0.7109375" style="5" customWidth="1"/>
    <col min="6383" max="6383" width="11" style="5" customWidth="1"/>
    <col min="6384" max="6384" width="9.140625" style="5"/>
    <col min="6385" max="6385" width="0.7109375" style="5" customWidth="1"/>
    <col min="6386" max="6386" width="16.42578125" style="5" customWidth="1"/>
    <col min="6387" max="6387" width="9.140625" style="5"/>
    <col min="6388" max="6388" width="0.7109375" style="5" customWidth="1"/>
    <col min="6389" max="6389" width="11" style="5" customWidth="1"/>
    <col min="6390" max="6390" width="9.140625" style="5"/>
    <col min="6391" max="6391" width="0.7109375" style="5" customWidth="1"/>
    <col min="6392" max="6392" width="11" style="5" customWidth="1"/>
    <col min="6393" max="6393" width="9.140625" style="5"/>
    <col min="6394" max="6394" width="0.7109375" style="5" customWidth="1"/>
    <col min="6395" max="6395" width="11" style="5" customWidth="1"/>
    <col min="6396" max="6396" width="9.140625" style="5"/>
    <col min="6397" max="6397" width="0.7109375" style="5" customWidth="1"/>
    <col min="6398" max="6398" width="11" style="5" customWidth="1"/>
    <col min="6399" max="6399" width="9.140625" style="5"/>
    <col min="6400" max="6400" width="0.7109375" style="5" customWidth="1"/>
    <col min="6401" max="6401" width="11" style="5" customWidth="1"/>
    <col min="6402" max="6631" width="9.140625" style="5"/>
    <col min="6632" max="6632" width="21.140625" style="5" customWidth="1"/>
    <col min="6633" max="6633" width="11" style="5" customWidth="1"/>
    <col min="6634" max="6634" width="9" style="5" customWidth="1"/>
    <col min="6635" max="6635" width="0.7109375" style="5" customWidth="1"/>
    <col min="6636" max="6636" width="11" style="5" customWidth="1"/>
    <col min="6637" max="6637" width="9.140625" style="5"/>
    <col min="6638" max="6638" width="0.7109375" style="5" customWidth="1"/>
    <col min="6639" max="6639" width="11" style="5" customWidth="1"/>
    <col min="6640" max="6640" width="9.140625" style="5"/>
    <col min="6641" max="6641" width="0.7109375" style="5" customWidth="1"/>
    <col min="6642" max="6642" width="16.42578125" style="5" customWidth="1"/>
    <col min="6643" max="6643" width="9.140625" style="5"/>
    <col min="6644" max="6644" width="0.7109375" style="5" customWidth="1"/>
    <col min="6645" max="6645" width="11" style="5" customWidth="1"/>
    <col min="6646" max="6646" width="9.140625" style="5"/>
    <col min="6647" max="6647" width="0.7109375" style="5" customWidth="1"/>
    <col min="6648" max="6648" width="11" style="5" customWidth="1"/>
    <col min="6649" max="6649" width="9.140625" style="5"/>
    <col min="6650" max="6650" width="0.7109375" style="5" customWidth="1"/>
    <col min="6651" max="6651" width="11" style="5" customWidth="1"/>
    <col min="6652" max="6652" width="9.140625" style="5"/>
    <col min="6653" max="6653" width="0.7109375" style="5" customWidth="1"/>
    <col min="6654" max="6654" width="11" style="5" customWidth="1"/>
    <col min="6655" max="6655" width="9.140625" style="5"/>
    <col min="6656" max="6656" width="0.7109375" style="5" customWidth="1"/>
    <col min="6657" max="6657" width="11" style="5" customWidth="1"/>
    <col min="6658" max="6887" width="9.140625" style="5"/>
    <col min="6888" max="6888" width="21.140625" style="5" customWidth="1"/>
    <col min="6889" max="6889" width="11" style="5" customWidth="1"/>
    <col min="6890" max="6890" width="9" style="5" customWidth="1"/>
    <col min="6891" max="6891" width="0.7109375" style="5" customWidth="1"/>
    <col min="6892" max="6892" width="11" style="5" customWidth="1"/>
    <col min="6893" max="6893" width="9.140625" style="5"/>
    <col min="6894" max="6894" width="0.7109375" style="5" customWidth="1"/>
    <col min="6895" max="6895" width="11" style="5" customWidth="1"/>
    <col min="6896" max="6896" width="9.140625" style="5"/>
    <col min="6897" max="6897" width="0.7109375" style="5" customWidth="1"/>
    <col min="6898" max="6898" width="16.42578125" style="5" customWidth="1"/>
    <col min="6899" max="6899" width="9.140625" style="5"/>
    <col min="6900" max="6900" width="0.7109375" style="5" customWidth="1"/>
    <col min="6901" max="6901" width="11" style="5" customWidth="1"/>
    <col min="6902" max="6902" width="9.140625" style="5"/>
    <col min="6903" max="6903" width="0.7109375" style="5" customWidth="1"/>
    <col min="6904" max="6904" width="11" style="5" customWidth="1"/>
    <col min="6905" max="6905" width="9.140625" style="5"/>
    <col min="6906" max="6906" width="0.7109375" style="5" customWidth="1"/>
    <col min="6907" max="6907" width="11" style="5" customWidth="1"/>
    <col min="6908" max="6908" width="9.140625" style="5"/>
    <col min="6909" max="6909" width="0.7109375" style="5" customWidth="1"/>
    <col min="6910" max="6910" width="11" style="5" customWidth="1"/>
    <col min="6911" max="6911" width="9.140625" style="5"/>
    <col min="6912" max="6912" width="0.7109375" style="5" customWidth="1"/>
    <col min="6913" max="6913" width="11" style="5" customWidth="1"/>
    <col min="6914" max="7143" width="9.140625" style="5"/>
    <col min="7144" max="7144" width="21.140625" style="5" customWidth="1"/>
    <col min="7145" max="7145" width="11" style="5" customWidth="1"/>
    <col min="7146" max="7146" width="9" style="5" customWidth="1"/>
    <col min="7147" max="7147" width="0.7109375" style="5" customWidth="1"/>
    <col min="7148" max="7148" width="11" style="5" customWidth="1"/>
    <col min="7149" max="7149" width="9.140625" style="5"/>
    <col min="7150" max="7150" width="0.7109375" style="5" customWidth="1"/>
    <col min="7151" max="7151" width="11" style="5" customWidth="1"/>
    <col min="7152" max="7152" width="9.140625" style="5"/>
    <col min="7153" max="7153" width="0.7109375" style="5" customWidth="1"/>
    <col min="7154" max="7154" width="16.42578125" style="5" customWidth="1"/>
    <col min="7155" max="7155" width="9.140625" style="5"/>
    <col min="7156" max="7156" width="0.7109375" style="5" customWidth="1"/>
    <col min="7157" max="7157" width="11" style="5" customWidth="1"/>
    <col min="7158" max="7158" width="9.140625" style="5"/>
    <col min="7159" max="7159" width="0.7109375" style="5" customWidth="1"/>
    <col min="7160" max="7160" width="11" style="5" customWidth="1"/>
    <col min="7161" max="7161" width="9.140625" style="5"/>
    <col min="7162" max="7162" width="0.7109375" style="5" customWidth="1"/>
    <col min="7163" max="7163" width="11" style="5" customWidth="1"/>
    <col min="7164" max="7164" width="9.140625" style="5"/>
    <col min="7165" max="7165" width="0.7109375" style="5" customWidth="1"/>
    <col min="7166" max="7166" width="11" style="5" customWidth="1"/>
    <col min="7167" max="7167" width="9.140625" style="5"/>
    <col min="7168" max="7168" width="0.7109375" style="5" customWidth="1"/>
    <col min="7169" max="7169" width="11" style="5" customWidth="1"/>
    <col min="7170" max="7399" width="9.140625" style="5"/>
    <col min="7400" max="7400" width="21.140625" style="5" customWidth="1"/>
    <col min="7401" max="7401" width="11" style="5" customWidth="1"/>
    <col min="7402" max="7402" width="9" style="5" customWidth="1"/>
    <col min="7403" max="7403" width="0.7109375" style="5" customWidth="1"/>
    <col min="7404" max="7404" width="11" style="5" customWidth="1"/>
    <col min="7405" max="7405" width="9.140625" style="5"/>
    <col min="7406" max="7406" width="0.7109375" style="5" customWidth="1"/>
    <col min="7407" max="7407" width="11" style="5" customWidth="1"/>
    <col min="7408" max="7408" width="9.140625" style="5"/>
    <col min="7409" max="7409" width="0.7109375" style="5" customWidth="1"/>
    <col min="7410" max="7410" width="16.42578125" style="5" customWidth="1"/>
    <col min="7411" max="7411" width="9.140625" style="5"/>
    <col min="7412" max="7412" width="0.7109375" style="5" customWidth="1"/>
    <col min="7413" max="7413" width="11" style="5" customWidth="1"/>
    <col min="7414" max="7414" width="9.140625" style="5"/>
    <col min="7415" max="7415" width="0.7109375" style="5" customWidth="1"/>
    <col min="7416" max="7416" width="11" style="5" customWidth="1"/>
    <col min="7417" max="7417" width="9.140625" style="5"/>
    <col min="7418" max="7418" width="0.7109375" style="5" customWidth="1"/>
    <col min="7419" max="7419" width="11" style="5" customWidth="1"/>
    <col min="7420" max="7420" width="9.140625" style="5"/>
    <col min="7421" max="7421" width="0.7109375" style="5" customWidth="1"/>
    <col min="7422" max="7422" width="11" style="5" customWidth="1"/>
    <col min="7423" max="7423" width="9.140625" style="5"/>
    <col min="7424" max="7424" width="0.7109375" style="5" customWidth="1"/>
    <col min="7425" max="7425" width="11" style="5" customWidth="1"/>
    <col min="7426" max="7655" width="9.140625" style="5"/>
    <col min="7656" max="7656" width="21.140625" style="5" customWidth="1"/>
    <col min="7657" max="7657" width="11" style="5" customWidth="1"/>
    <col min="7658" max="7658" width="9" style="5" customWidth="1"/>
    <col min="7659" max="7659" width="0.7109375" style="5" customWidth="1"/>
    <col min="7660" max="7660" width="11" style="5" customWidth="1"/>
    <col min="7661" max="7661" width="9.140625" style="5"/>
    <col min="7662" max="7662" width="0.7109375" style="5" customWidth="1"/>
    <col min="7663" max="7663" width="11" style="5" customWidth="1"/>
    <col min="7664" max="7664" width="9.140625" style="5"/>
    <col min="7665" max="7665" width="0.7109375" style="5" customWidth="1"/>
    <col min="7666" max="7666" width="16.42578125" style="5" customWidth="1"/>
    <col min="7667" max="7667" width="9.140625" style="5"/>
    <col min="7668" max="7668" width="0.7109375" style="5" customWidth="1"/>
    <col min="7669" max="7669" width="11" style="5" customWidth="1"/>
    <col min="7670" max="7670" width="9.140625" style="5"/>
    <col min="7671" max="7671" width="0.7109375" style="5" customWidth="1"/>
    <col min="7672" max="7672" width="11" style="5" customWidth="1"/>
    <col min="7673" max="7673" width="9.140625" style="5"/>
    <col min="7674" max="7674" width="0.7109375" style="5" customWidth="1"/>
    <col min="7675" max="7675" width="11" style="5" customWidth="1"/>
    <col min="7676" max="7676" width="9.140625" style="5"/>
    <col min="7677" max="7677" width="0.7109375" style="5" customWidth="1"/>
    <col min="7678" max="7678" width="11" style="5" customWidth="1"/>
    <col min="7679" max="7679" width="9.140625" style="5"/>
    <col min="7680" max="7680" width="0.7109375" style="5" customWidth="1"/>
    <col min="7681" max="7681" width="11" style="5" customWidth="1"/>
    <col min="7682" max="7911" width="9.140625" style="5"/>
    <col min="7912" max="7912" width="21.140625" style="5" customWidth="1"/>
    <col min="7913" max="7913" width="11" style="5" customWidth="1"/>
    <col min="7914" max="7914" width="9" style="5" customWidth="1"/>
    <col min="7915" max="7915" width="0.7109375" style="5" customWidth="1"/>
    <col min="7916" max="7916" width="11" style="5" customWidth="1"/>
    <col min="7917" max="7917" width="9.140625" style="5"/>
    <col min="7918" max="7918" width="0.7109375" style="5" customWidth="1"/>
    <col min="7919" max="7919" width="11" style="5" customWidth="1"/>
    <col min="7920" max="7920" width="9.140625" style="5"/>
    <col min="7921" max="7921" width="0.7109375" style="5" customWidth="1"/>
    <col min="7922" max="7922" width="16.42578125" style="5" customWidth="1"/>
    <col min="7923" max="7923" width="9.140625" style="5"/>
    <col min="7924" max="7924" width="0.7109375" style="5" customWidth="1"/>
    <col min="7925" max="7925" width="11" style="5" customWidth="1"/>
    <col min="7926" max="7926" width="9.140625" style="5"/>
    <col min="7927" max="7927" width="0.7109375" style="5" customWidth="1"/>
    <col min="7928" max="7928" width="11" style="5" customWidth="1"/>
    <col min="7929" max="7929" width="9.140625" style="5"/>
    <col min="7930" max="7930" width="0.7109375" style="5" customWidth="1"/>
    <col min="7931" max="7931" width="11" style="5" customWidth="1"/>
    <col min="7932" max="7932" width="9.140625" style="5"/>
    <col min="7933" max="7933" width="0.7109375" style="5" customWidth="1"/>
    <col min="7934" max="7934" width="11" style="5" customWidth="1"/>
    <col min="7935" max="7935" width="9.140625" style="5"/>
    <col min="7936" max="7936" width="0.7109375" style="5" customWidth="1"/>
    <col min="7937" max="7937" width="11" style="5" customWidth="1"/>
    <col min="7938" max="8167" width="9.140625" style="5"/>
    <col min="8168" max="8168" width="21.140625" style="5" customWidth="1"/>
    <col min="8169" max="8169" width="11" style="5" customWidth="1"/>
    <col min="8170" max="8170" width="9" style="5" customWidth="1"/>
    <col min="8171" max="8171" width="0.7109375" style="5" customWidth="1"/>
    <col min="8172" max="8172" width="11" style="5" customWidth="1"/>
    <col min="8173" max="8173" width="9.140625" style="5"/>
    <col min="8174" max="8174" width="0.7109375" style="5" customWidth="1"/>
    <col min="8175" max="8175" width="11" style="5" customWidth="1"/>
    <col min="8176" max="8176" width="9.140625" style="5"/>
    <col min="8177" max="8177" width="0.7109375" style="5" customWidth="1"/>
    <col min="8178" max="8178" width="16.42578125" style="5" customWidth="1"/>
    <col min="8179" max="8179" width="9.140625" style="5"/>
    <col min="8180" max="8180" width="0.7109375" style="5" customWidth="1"/>
    <col min="8181" max="8181" width="11" style="5" customWidth="1"/>
    <col min="8182" max="8182" width="9.140625" style="5"/>
    <col min="8183" max="8183" width="0.7109375" style="5" customWidth="1"/>
    <col min="8184" max="8184" width="11" style="5" customWidth="1"/>
    <col min="8185" max="8185" width="9.140625" style="5"/>
    <col min="8186" max="8186" width="0.7109375" style="5" customWidth="1"/>
    <col min="8187" max="8187" width="11" style="5" customWidth="1"/>
    <col min="8188" max="8188" width="9.140625" style="5"/>
    <col min="8189" max="8189" width="0.7109375" style="5" customWidth="1"/>
    <col min="8190" max="8190" width="11" style="5" customWidth="1"/>
    <col min="8191" max="8191" width="9.140625" style="5"/>
    <col min="8192" max="8192" width="0.7109375" style="5" customWidth="1"/>
    <col min="8193" max="8193" width="11" style="5" customWidth="1"/>
    <col min="8194" max="8423" width="9.140625" style="5"/>
    <col min="8424" max="8424" width="21.140625" style="5" customWidth="1"/>
    <col min="8425" max="8425" width="11" style="5" customWidth="1"/>
    <col min="8426" max="8426" width="9" style="5" customWidth="1"/>
    <col min="8427" max="8427" width="0.7109375" style="5" customWidth="1"/>
    <col min="8428" max="8428" width="11" style="5" customWidth="1"/>
    <col min="8429" max="8429" width="9.140625" style="5"/>
    <col min="8430" max="8430" width="0.7109375" style="5" customWidth="1"/>
    <col min="8431" max="8431" width="11" style="5" customWidth="1"/>
    <col min="8432" max="8432" width="9.140625" style="5"/>
    <col min="8433" max="8433" width="0.7109375" style="5" customWidth="1"/>
    <col min="8434" max="8434" width="16.42578125" style="5" customWidth="1"/>
    <col min="8435" max="8435" width="9.140625" style="5"/>
    <col min="8436" max="8436" width="0.7109375" style="5" customWidth="1"/>
    <col min="8437" max="8437" width="11" style="5" customWidth="1"/>
    <col min="8438" max="8438" width="9.140625" style="5"/>
    <col min="8439" max="8439" width="0.7109375" style="5" customWidth="1"/>
    <col min="8440" max="8440" width="11" style="5" customWidth="1"/>
    <col min="8441" max="8441" width="9.140625" style="5"/>
    <col min="8442" max="8442" width="0.7109375" style="5" customWidth="1"/>
    <col min="8443" max="8443" width="11" style="5" customWidth="1"/>
    <col min="8444" max="8444" width="9.140625" style="5"/>
    <col min="8445" max="8445" width="0.7109375" style="5" customWidth="1"/>
    <col min="8446" max="8446" width="11" style="5" customWidth="1"/>
    <col min="8447" max="8447" width="9.140625" style="5"/>
    <col min="8448" max="8448" width="0.7109375" style="5" customWidth="1"/>
    <col min="8449" max="8449" width="11" style="5" customWidth="1"/>
    <col min="8450" max="8679" width="9.140625" style="5"/>
    <col min="8680" max="8680" width="21.140625" style="5" customWidth="1"/>
    <col min="8681" max="8681" width="11" style="5" customWidth="1"/>
    <col min="8682" max="8682" width="9" style="5" customWidth="1"/>
    <col min="8683" max="8683" width="0.7109375" style="5" customWidth="1"/>
    <col min="8684" max="8684" width="11" style="5" customWidth="1"/>
    <col min="8685" max="8685" width="9.140625" style="5"/>
    <col min="8686" max="8686" width="0.7109375" style="5" customWidth="1"/>
    <col min="8687" max="8687" width="11" style="5" customWidth="1"/>
    <col min="8688" max="8688" width="9.140625" style="5"/>
    <col min="8689" max="8689" width="0.7109375" style="5" customWidth="1"/>
    <col min="8690" max="8690" width="16.42578125" style="5" customWidth="1"/>
    <col min="8691" max="8691" width="9.140625" style="5"/>
    <col min="8692" max="8692" width="0.7109375" style="5" customWidth="1"/>
    <col min="8693" max="8693" width="11" style="5" customWidth="1"/>
    <col min="8694" max="8694" width="9.140625" style="5"/>
    <col min="8695" max="8695" width="0.7109375" style="5" customWidth="1"/>
    <col min="8696" max="8696" width="11" style="5" customWidth="1"/>
    <col min="8697" max="8697" width="9.140625" style="5"/>
    <col min="8698" max="8698" width="0.7109375" style="5" customWidth="1"/>
    <col min="8699" max="8699" width="11" style="5" customWidth="1"/>
    <col min="8700" max="8700" width="9.140625" style="5"/>
    <col min="8701" max="8701" width="0.7109375" style="5" customWidth="1"/>
    <col min="8702" max="8702" width="11" style="5" customWidth="1"/>
    <col min="8703" max="8703" width="9.140625" style="5"/>
    <col min="8704" max="8704" width="0.7109375" style="5" customWidth="1"/>
    <col min="8705" max="8705" width="11" style="5" customWidth="1"/>
    <col min="8706" max="8935" width="9.140625" style="5"/>
    <col min="8936" max="8936" width="21.140625" style="5" customWidth="1"/>
    <col min="8937" max="8937" width="11" style="5" customWidth="1"/>
    <col min="8938" max="8938" width="9" style="5" customWidth="1"/>
    <col min="8939" max="8939" width="0.7109375" style="5" customWidth="1"/>
    <col min="8940" max="8940" width="11" style="5" customWidth="1"/>
    <col min="8941" max="8941" width="9.140625" style="5"/>
    <col min="8942" max="8942" width="0.7109375" style="5" customWidth="1"/>
    <col min="8943" max="8943" width="11" style="5" customWidth="1"/>
    <col min="8944" max="8944" width="9.140625" style="5"/>
    <col min="8945" max="8945" width="0.7109375" style="5" customWidth="1"/>
    <col min="8946" max="8946" width="16.42578125" style="5" customWidth="1"/>
    <col min="8947" max="8947" width="9.140625" style="5"/>
    <col min="8948" max="8948" width="0.7109375" style="5" customWidth="1"/>
    <col min="8949" max="8949" width="11" style="5" customWidth="1"/>
    <col min="8950" max="8950" width="9.140625" style="5"/>
    <col min="8951" max="8951" width="0.7109375" style="5" customWidth="1"/>
    <col min="8952" max="8952" width="11" style="5" customWidth="1"/>
    <col min="8953" max="8953" width="9.140625" style="5"/>
    <col min="8954" max="8954" width="0.7109375" style="5" customWidth="1"/>
    <col min="8955" max="8955" width="11" style="5" customWidth="1"/>
    <col min="8956" max="8956" width="9.140625" style="5"/>
    <col min="8957" max="8957" width="0.7109375" style="5" customWidth="1"/>
    <col min="8958" max="8958" width="11" style="5" customWidth="1"/>
    <col min="8959" max="8959" width="9.140625" style="5"/>
    <col min="8960" max="8960" width="0.7109375" style="5" customWidth="1"/>
    <col min="8961" max="8961" width="11" style="5" customWidth="1"/>
    <col min="8962" max="9191" width="9.140625" style="5"/>
    <col min="9192" max="9192" width="21.140625" style="5" customWidth="1"/>
    <col min="9193" max="9193" width="11" style="5" customWidth="1"/>
    <col min="9194" max="9194" width="9" style="5" customWidth="1"/>
    <col min="9195" max="9195" width="0.7109375" style="5" customWidth="1"/>
    <col min="9196" max="9196" width="11" style="5" customWidth="1"/>
    <col min="9197" max="9197" width="9.140625" style="5"/>
    <col min="9198" max="9198" width="0.7109375" style="5" customWidth="1"/>
    <col min="9199" max="9199" width="11" style="5" customWidth="1"/>
    <col min="9200" max="9200" width="9.140625" style="5"/>
    <col min="9201" max="9201" width="0.7109375" style="5" customWidth="1"/>
    <col min="9202" max="9202" width="16.42578125" style="5" customWidth="1"/>
    <col min="9203" max="9203" width="9.140625" style="5"/>
    <col min="9204" max="9204" width="0.7109375" style="5" customWidth="1"/>
    <col min="9205" max="9205" width="11" style="5" customWidth="1"/>
    <col min="9206" max="9206" width="9.140625" style="5"/>
    <col min="9207" max="9207" width="0.7109375" style="5" customWidth="1"/>
    <col min="9208" max="9208" width="11" style="5" customWidth="1"/>
    <col min="9209" max="9209" width="9.140625" style="5"/>
    <col min="9210" max="9210" width="0.7109375" style="5" customWidth="1"/>
    <col min="9211" max="9211" width="11" style="5" customWidth="1"/>
    <col min="9212" max="9212" width="9.140625" style="5"/>
    <col min="9213" max="9213" width="0.7109375" style="5" customWidth="1"/>
    <col min="9214" max="9214" width="11" style="5" customWidth="1"/>
    <col min="9215" max="9215" width="9.140625" style="5"/>
    <col min="9216" max="9216" width="0.7109375" style="5" customWidth="1"/>
    <col min="9217" max="9217" width="11" style="5" customWidth="1"/>
    <col min="9218" max="9447" width="9.140625" style="5"/>
    <col min="9448" max="9448" width="21.140625" style="5" customWidth="1"/>
    <col min="9449" max="9449" width="11" style="5" customWidth="1"/>
    <col min="9450" max="9450" width="9" style="5" customWidth="1"/>
    <col min="9451" max="9451" width="0.7109375" style="5" customWidth="1"/>
    <col min="9452" max="9452" width="11" style="5" customWidth="1"/>
    <col min="9453" max="9453" width="9.140625" style="5"/>
    <col min="9454" max="9454" width="0.7109375" style="5" customWidth="1"/>
    <col min="9455" max="9455" width="11" style="5" customWidth="1"/>
    <col min="9456" max="9456" width="9.140625" style="5"/>
    <col min="9457" max="9457" width="0.7109375" style="5" customWidth="1"/>
    <col min="9458" max="9458" width="16.42578125" style="5" customWidth="1"/>
    <col min="9459" max="9459" width="9.140625" style="5"/>
    <col min="9460" max="9460" width="0.7109375" style="5" customWidth="1"/>
    <col min="9461" max="9461" width="11" style="5" customWidth="1"/>
    <col min="9462" max="9462" width="9.140625" style="5"/>
    <col min="9463" max="9463" width="0.7109375" style="5" customWidth="1"/>
    <col min="9464" max="9464" width="11" style="5" customWidth="1"/>
    <col min="9465" max="9465" width="9.140625" style="5"/>
    <col min="9466" max="9466" width="0.7109375" style="5" customWidth="1"/>
    <col min="9467" max="9467" width="11" style="5" customWidth="1"/>
    <col min="9468" max="9468" width="9.140625" style="5"/>
    <col min="9469" max="9469" width="0.7109375" style="5" customWidth="1"/>
    <col min="9470" max="9470" width="11" style="5" customWidth="1"/>
    <col min="9471" max="9471" width="9.140625" style="5"/>
    <col min="9472" max="9472" width="0.7109375" style="5" customWidth="1"/>
    <col min="9473" max="9473" width="11" style="5" customWidth="1"/>
    <col min="9474" max="9703" width="9.140625" style="5"/>
    <col min="9704" max="9704" width="21.140625" style="5" customWidth="1"/>
    <col min="9705" max="9705" width="11" style="5" customWidth="1"/>
    <col min="9706" max="9706" width="9" style="5" customWidth="1"/>
    <col min="9707" max="9707" width="0.7109375" style="5" customWidth="1"/>
    <col min="9708" max="9708" width="11" style="5" customWidth="1"/>
    <col min="9709" max="9709" width="9.140625" style="5"/>
    <col min="9710" max="9710" width="0.7109375" style="5" customWidth="1"/>
    <col min="9711" max="9711" width="11" style="5" customWidth="1"/>
    <col min="9712" max="9712" width="9.140625" style="5"/>
    <col min="9713" max="9713" width="0.7109375" style="5" customWidth="1"/>
    <col min="9714" max="9714" width="16.42578125" style="5" customWidth="1"/>
    <col min="9715" max="9715" width="9.140625" style="5"/>
    <col min="9716" max="9716" width="0.7109375" style="5" customWidth="1"/>
    <col min="9717" max="9717" width="11" style="5" customWidth="1"/>
    <col min="9718" max="9718" width="9.140625" style="5"/>
    <col min="9719" max="9719" width="0.7109375" style="5" customWidth="1"/>
    <col min="9720" max="9720" width="11" style="5" customWidth="1"/>
    <col min="9721" max="9721" width="9.140625" style="5"/>
    <col min="9722" max="9722" width="0.7109375" style="5" customWidth="1"/>
    <col min="9723" max="9723" width="11" style="5" customWidth="1"/>
    <col min="9724" max="9724" width="9.140625" style="5"/>
    <col min="9725" max="9725" width="0.7109375" style="5" customWidth="1"/>
    <col min="9726" max="9726" width="11" style="5" customWidth="1"/>
    <col min="9727" max="9727" width="9.140625" style="5"/>
    <col min="9728" max="9728" width="0.7109375" style="5" customWidth="1"/>
    <col min="9729" max="9729" width="11" style="5" customWidth="1"/>
    <col min="9730" max="9959" width="9.140625" style="5"/>
    <col min="9960" max="9960" width="21.140625" style="5" customWidth="1"/>
    <col min="9961" max="9961" width="11" style="5" customWidth="1"/>
    <col min="9962" max="9962" width="9" style="5" customWidth="1"/>
    <col min="9963" max="9963" width="0.7109375" style="5" customWidth="1"/>
    <col min="9964" max="9964" width="11" style="5" customWidth="1"/>
    <col min="9965" max="9965" width="9.140625" style="5"/>
    <col min="9966" max="9966" width="0.7109375" style="5" customWidth="1"/>
    <col min="9967" max="9967" width="11" style="5" customWidth="1"/>
    <col min="9968" max="9968" width="9.140625" style="5"/>
    <col min="9969" max="9969" width="0.7109375" style="5" customWidth="1"/>
    <col min="9970" max="9970" width="16.42578125" style="5" customWidth="1"/>
    <col min="9971" max="9971" width="9.140625" style="5"/>
    <col min="9972" max="9972" width="0.7109375" style="5" customWidth="1"/>
    <col min="9973" max="9973" width="11" style="5" customWidth="1"/>
    <col min="9974" max="9974" width="9.140625" style="5"/>
    <col min="9975" max="9975" width="0.7109375" style="5" customWidth="1"/>
    <col min="9976" max="9976" width="11" style="5" customWidth="1"/>
    <col min="9977" max="9977" width="9.140625" style="5"/>
    <col min="9978" max="9978" width="0.7109375" style="5" customWidth="1"/>
    <col min="9979" max="9979" width="11" style="5" customWidth="1"/>
    <col min="9980" max="9980" width="9.140625" style="5"/>
    <col min="9981" max="9981" width="0.7109375" style="5" customWidth="1"/>
    <col min="9982" max="9982" width="11" style="5" customWidth="1"/>
    <col min="9983" max="9983" width="9.140625" style="5"/>
    <col min="9984" max="9984" width="0.7109375" style="5" customWidth="1"/>
    <col min="9985" max="9985" width="11" style="5" customWidth="1"/>
    <col min="9986" max="10215" width="9.140625" style="5"/>
    <col min="10216" max="10216" width="21.140625" style="5" customWidth="1"/>
    <col min="10217" max="10217" width="11" style="5" customWidth="1"/>
    <col min="10218" max="10218" width="9" style="5" customWidth="1"/>
    <col min="10219" max="10219" width="0.7109375" style="5" customWidth="1"/>
    <col min="10220" max="10220" width="11" style="5" customWidth="1"/>
    <col min="10221" max="10221" width="9.140625" style="5"/>
    <col min="10222" max="10222" width="0.7109375" style="5" customWidth="1"/>
    <col min="10223" max="10223" width="11" style="5" customWidth="1"/>
    <col min="10224" max="10224" width="9.140625" style="5"/>
    <col min="10225" max="10225" width="0.7109375" style="5" customWidth="1"/>
    <col min="10226" max="10226" width="16.42578125" style="5" customWidth="1"/>
    <col min="10227" max="10227" width="9.140625" style="5"/>
    <col min="10228" max="10228" width="0.7109375" style="5" customWidth="1"/>
    <col min="10229" max="10229" width="11" style="5" customWidth="1"/>
    <col min="10230" max="10230" width="9.140625" style="5"/>
    <col min="10231" max="10231" width="0.7109375" style="5" customWidth="1"/>
    <col min="10232" max="10232" width="11" style="5" customWidth="1"/>
    <col min="10233" max="10233" width="9.140625" style="5"/>
    <col min="10234" max="10234" width="0.7109375" style="5" customWidth="1"/>
    <col min="10235" max="10235" width="11" style="5" customWidth="1"/>
    <col min="10236" max="10236" width="9.140625" style="5"/>
    <col min="10237" max="10237" width="0.7109375" style="5" customWidth="1"/>
    <col min="10238" max="10238" width="11" style="5" customWidth="1"/>
    <col min="10239" max="10239" width="9.140625" style="5"/>
    <col min="10240" max="10240" width="0.7109375" style="5" customWidth="1"/>
    <col min="10241" max="10241" width="11" style="5" customWidth="1"/>
    <col min="10242" max="10471" width="9.140625" style="5"/>
    <col min="10472" max="10472" width="21.140625" style="5" customWidth="1"/>
    <col min="10473" max="10473" width="11" style="5" customWidth="1"/>
    <col min="10474" max="10474" width="9" style="5" customWidth="1"/>
    <col min="10475" max="10475" width="0.7109375" style="5" customWidth="1"/>
    <col min="10476" max="10476" width="11" style="5" customWidth="1"/>
    <col min="10477" max="10477" width="9.140625" style="5"/>
    <col min="10478" max="10478" width="0.7109375" style="5" customWidth="1"/>
    <col min="10479" max="10479" width="11" style="5" customWidth="1"/>
    <col min="10480" max="10480" width="9.140625" style="5"/>
    <col min="10481" max="10481" width="0.7109375" style="5" customWidth="1"/>
    <col min="10482" max="10482" width="16.42578125" style="5" customWidth="1"/>
    <col min="10483" max="10483" width="9.140625" style="5"/>
    <col min="10484" max="10484" width="0.7109375" style="5" customWidth="1"/>
    <col min="10485" max="10485" width="11" style="5" customWidth="1"/>
    <col min="10486" max="10486" width="9.140625" style="5"/>
    <col min="10487" max="10487" width="0.7109375" style="5" customWidth="1"/>
    <col min="10488" max="10488" width="11" style="5" customWidth="1"/>
    <col min="10489" max="10489" width="9.140625" style="5"/>
    <col min="10490" max="10490" width="0.7109375" style="5" customWidth="1"/>
    <col min="10491" max="10491" width="11" style="5" customWidth="1"/>
    <col min="10492" max="10492" width="9.140625" style="5"/>
    <col min="10493" max="10493" width="0.7109375" style="5" customWidth="1"/>
    <col min="10494" max="10494" width="11" style="5" customWidth="1"/>
    <col min="10495" max="10495" width="9.140625" style="5"/>
    <col min="10496" max="10496" width="0.7109375" style="5" customWidth="1"/>
    <col min="10497" max="10497" width="11" style="5" customWidth="1"/>
    <col min="10498" max="10727" width="9.140625" style="5"/>
    <col min="10728" max="10728" width="21.140625" style="5" customWidth="1"/>
    <col min="10729" max="10729" width="11" style="5" customWidth="1"/>
    <col min="10730" max="10730" width="9" style="5" customWidth="1"/>
    <col min="10731" max="10731" width="0.7109375" style="5" customWidth="1"/>
    <col min="10732" max="10732" width="11" style="5" customWidth="1"/>
    <col min="10733" max="10733" width="9.140625" style="5"/>
    <col min="10734" max="10734" width="0.7109375" style="5" customWidth="1"/>
    <col min="10735" max="10735" width="11" style="5" customWidth="1"/>
    <col min="10736" max="10736" width="9.140625" style="5"/>
    <col min="10737" max="10737" width="0.7109375" style="5" customWidth="1"/>
    <col min="10738" max="10738" width="16.42578125" style="5" customWidth="1"/>
    <col min="10739" max="10739" width="9.140625" style="5"/>
    <col min="10740" max="10740" width="0.7109375" style="5" customWidth="1"/>
    <col min="10741" max="10741" width="11" style="5" customWidth="1"/>
    <col min="10742" max="10742" width="9.140625" style="5"/>
    <col min="10743" max="10743" width="0.7109375" style="5" customWidth="1"/>
    <col min="10744" max="10744" width="11" style="5" customWidth="1"/>
    <col min="10745" max="10745" width="9.140625" style="5"/>
    <col min="10746" max="10746" width="0.7109375" style="5" customWidth="1"/>
    <col min="10747" max="10747" width="11" style="5" customWidth="1"/>
    <col min="10748" max="10748" width="9.140625" style="5"/>
    <col min="10749" max="10749" width="0.7109375" style="5" customWidth="1"/>
    <col min="10750" max="10750" width="11" style="5" customWidth="1"/>
    <col min="10751" max="10751" width="9.140625" style="5"/>
    <col min="10752" max="10752" width="0.7109375" style="5" customWidth="1"/>
    <col min="10753" max="10753" width="11" style="5" customWidth="1"/>
    <col min="10754" max="10983" width="9.140625" style="5"/>
    <col min="10984" max="10984" width="21.140625" style="5" customWidth="1"/>
    <col min="10985" max="10985" width="11" style="5" customWidth="1"/>
    <col min="10986" max="10986" width="9" style="5" customWidth="1"/>
    <col min="10987" max="10987" width="0.7109375" style="5" customWidth="1"/>
    <col min="10988" max="10988" width="11" style="5" customWidth="1"/>
    <col min="10989" max="10989" width="9.140625" style="5"/>
    <col min="10990" max="10990" width="0.7109375" style="5" customWidth="1"/>
    <col min="10991" max="10991" width="11" style="5" customWidth="1"/>
    <col min="10992" max="10992" width="9.140625" style="5"/>
    <col min="10993" max="10993" width="0.7109375" style="5" customWidth="1"/>
    <col min="10994" max="10994" width="16.42578125" style="5" customWidth="1"/>
    <col min="10995" max="10995" width="9.140625" style="5"/>
    <col min="10996" max="10996" width="0.7109375" style="5" customWidth="1"/>
    <col min="10997" max="10997" width="11" style="5" customWidth="1"/>
    <col min="10998" max="10998" width="9.140625" style="5"/>
    <col min="10999" max="10999" width="0.7109375" style="5" customWidth="1"/>
    <col min="11000" max="11000" width="11" style="5" customWidth="1"/>
    <col min="11001" max="11001" width="9.140625" style="5"/>
    <col min="11002" max="11002" width="0.7109375" style="5" customWidth="1"/>
    <col min="11003" max="11003" width="11" style="5" customWidth="1"/>
    <col min="11004" max="11004" width="9.140625" style="5"/>
    <col min="11005" max="11005" width="0.7109375" style="5" customWidth="1"/>
    <col min="11006" max="11006" width="11" style="5" customWidth="1"/>
    <col min="11007" max="11007" width="9.140625" style="5"/>
    <col min="11008" max="11008" width="0.7109375" style="5" customWidth="1"/>
    <col min="11009" max="11009" width="11" style="5" customWidth="1"/>
    <col min="11010" max="11239" width="9.140625" style="5"/>
    <col min="11240" max="11240" width="21.140625" style="5" customWidth="1"/>
    <col min="11241" max="11241" width="11" style="5" customWidth="1"/>
    <col min="11242" max="11242" width="9" style="5" customWidth="1"/>
    <col min="11243" max="11243" width="0.7109375" style="5" customWidth="1"/>
    <col min="11244" max="11244" width="11" style="5" customWidth="1"/>
    <col min="11245" max="11245" width="9.140625" style="5"/>
    <col min="11246" max="11246" width="0.7109375" style="5" customWidth="1"/>
    <col min="11247" max="11247" width="11" style="5" customWidth="1"/>
    <col min="11248" max="11248" width="9.140625" style="5"/>
    <col min="11249" max="11249" width="0.7109375" style="5" customWidth="1"/>
    <col min="11250" max="11250" width="16.42578125" style="5" customWidth="1"/>
    <col min="11251" max="11251" width="9.140625" style="5"/>
    <col min="11252" max="11252" width="0.7109375" style="5" customWidth="1"/>
    <col min="11253" max="11253" width="11" style="5" customWidth="1"/>
    <col min="11254" max="11254" width="9.140625" style="5"/>
    <col min="11255" max="11255" width="0.7109375" style="5" customWidth="1"/>
    <col min="11256" max="11256" width="11" style="5" customWidth="1"/>
    <col min="11257" max="11257" width="9.140625" style="5"/>
    <col min="11258" max="11258" width="0.7109375" style="5" customWidth="1"/>
    <col min="11259" max="11259" width="11" style="5" customWidth="1"/>
    <col min="11260" max="11260" width="9.140625" style="5"/>
    <col min="11261" max="11261" width="0.7109375" style="5" customWidth="1"/>
    <col min="11262" max="11262" width="11" style="5" customWidth="1"/>
    <col min="11263" max="11263" width="9.140625" style="5"/>
    <col min="11264" max="11264" width="0.7109375" style="5" customWidth="1"/>
    <col min="11265" max="11265" width="11" style="5" customWidth="1"/>
    <col min="11266" max="11495" width="9.140625" style="5"/>
    <col min="11496" max="11496" width="21.140625" style="5" customWidth="1"/>
    <col min="11497" max="11497" width="11" style="5" customWidth="1"/>
    <col min="11498" max="11498" width="9" style="5" customWidth="1"/>
    <col min="11499" max="11499" width="0.7109375" style="5" customWidth="1"/>
    <col min="11500" max="11500" width="11" style="5" customWidth="1"/>
    <col min="11501" max="11501" width="9.140625" style="5"/>
    <col min="11502" max="11502" width="0.7109375" style="5" customWidth="1"/>
    <col min="11503" max="11503" width="11" style="5" customWidth="1"/>
    <col min="11504" max="11504" width="9.140625" style="5"/>
    <col min="11505" max="11505" width="0.7109375" style="5" customWidth="1"/>
    <col min="11506" max="11506" width="16.42578125" style="5" customWidth="1"/>
    <col min="11507" max="11507" width="9.140625" style="5"/>
    <col min="11508" max="11508" width="0.7109375" style="5" customWidth="1"/>
    <col min="11509" max="11509" width="11" style="5" customWidth="1"/>
    <col min="11510" max="11510" width="9.140625" style="5"/>
    <col min="11511" max="11511" width="0.7109375" style="5" customWidth="1"/>
    <col min="11512" max="11512" width="11" style="5" customWidth="1"/>
    <col min="11513" max="11513" width="9.140625" style="5"/>
    <col min="11514" max="11514" width="0.7109375" style="5" customWidth="1"/>
    <col min="11515" max="11515" width="11" style="5" customWidth="1"/>
    <col min="11516" max="11516" width="9.140625" style="5"/>
    <col min="11517" max="11517" width="0.7109375" style="5" customWidth="1"/>
    <col min="11518" max="11518" width="11" style="5" customWidth="1"/>
    <col min="11519" max="11519" width="9.140625" style="5"/>
    <col min="11520" max="11520" width="0.7109375" style="5" customWidth="1"/>
    <col min="11521" max="11521" width="11" style="5" customWidth="1"/>
    <col min="11522" max="11751" width="9.140625" style="5"/>
    <col min="11752" max="11752" width="21.140625" style="5" customWidth="1"/>
    <col min="11753" max="11753" width="11" style="5" customWidth="1"/>
    <col min="11754" max="11754" width="9" style="5" customWidth="1"/>
    <col min="11755" max="11755" width="0.7109375" style="5" customWidth="1"/>
    <col min="11756" max="11756" width="11" style="5" customWidth="1"/>
    <col min="11757" max="11757" width="9.140625" style="5"/>
    <col min="11758" max="11758" width="0.7109375" style="5" customWidth="1"/>
    <col min="11759" max="11759" width="11" style="5" customWidth="1"/>
    <col min="11760" max="11760" width="9.140625" style="5"/>
    <col min="11761" max="11761" width="0.7109375" style="5" customWidth="1"/>
    <col min="11762" max="11762" width="16.42578125" style="5" customWidth="1"/>
    <col min="11763" max="11763" width="9.140625" style="5"/>
    <col min="11764" max="11764" width="0.7109375" style="5" customWidth="1"/>
    <col min="11765" max="11765" width="11" style="5" customWidth="1"/>
    <col min="11766" max="11766" width="9.140625" style="5"/>
    <col min="11767" max="11767" width="0.7109375" style="5" customWidth="1"/>
    <col min="11768" max="11768" width="11" style="5" customWidth="1"/>
    <col min="11769" max="11769" width="9.140625" style="5"/>
    <col min="11770" max="11770" width="0.7109375" style="5" customWidth="1"/>
    <col min="11771" max="11771" width="11" style="5" customWidth="1"/>
    <col min="11772" max="11772" width="9.140625" style="5"/>
    <col min="11773" max="11773" width="0.7109375" style="5" customWidth="1"/>
    <col min="11774" max="11774" width="11" style="5" customWidth="1"/>
    <col min="11775" max="11775" width="9.140625" style="5"/>
    <col min="11776" max="11776" width="0.7109375" style="5" customWidth="1"/>
    <col min="11777" max="11777" width="11" style="5" customWidth="1"/>
    <col min="11778" max="12007" width="9.140625" style="5"/>
    <col min="12008" max="12008" width="21.140625" style="5" customWidth="1"/>
    <col min="12009" max="12009" width="11" style="5" customWidth="1"/>
    <col min="12010" max="12010" width="9" style="5" customWidth="1"/>
    <col min="12011" max="12011" width="0.7109375" style="5" customWidth="1"/>
    <col min="12012" max="12012" width="11" style="5" customWidth="1"/>
    <col min="12013" max="12013" width="9.140625" style="5"/>
    <col min="12014" max="12014" width="0.7109375" style="5" customWidth="1"/>
    <col min="12015" max="12015" width="11" style="5" customWidth="1"/>
    <col min="12016" max="12016" width="9.140625" style="5"/>
    <col min="12017" max="12017" width="0.7109375" style="5" customWidth="1"/>
    <col min="12018" max="12018" width="16.42578125" style="5" customWidth="1"/>
    <col min="12019" max="12019" width="9.140625" style="5"/>
    <col min="12020" max="12020" width="0.7109375" style="5" customWidth="1"/>
    <col min="12021" max="12021" width="11" style="5" customWidth="1"/>
    <col min="12022" max="12022" width="9.140625" style="5"/>
    <col min="12023" max="12023" width="0.7109375" style="5" customWidth="1"/>
    <col min="12024" max="12024" width="11" style="5" customWidth="1"/>
    <col min="12025" max="12025" width="9.140625" style="5"/>
    <col min="12026" max="12026" width="0.7109375" style="5" customWidth="1"/>
    <col min="12027" max="12027" width="11" style="5" customWidth="1"/>
    <col min="12028" max="12028" width="9.140625" style="5"/>
    <col min="12029" max="12029" width="0.7109375" style="5" customWidth="1"/>
    <col min="12030" max="12030" width="11" style="5" customWidth="1"/>
    <col min="12031" max="12031" width="9.140625" style="5"/>
    <col min="12032" max="12032" width="0.7109375" style="5" customWidth="1"/>
    <col min="12033" max="12033" width="11" style="5" customWidth="1"/>
    <col min="12034" max="12263" width="9.140625" style="5"/>
    <col min="12264" max="12264" width="21.140625" style="5" customWidth="1"/>
    <col min="12265" max="12265" width="11" style="5" customWidth="1"/>
    <col min="12266" max="12266" width="9" style="5" customWidth="1"/>
    <col min="12267" max="12267" width="0.7109375" style="5" customWidth="1"/>
    <col min="12268" max="12268" width="11" style="5" customWidth="1"/>
    <col min="12269" max="12269" width="9.140625" style="5"/>
    <col min="12270" max="12270" width="0.7109375" style="5" customWidth="1"/>
    <col min="12271" max="12271" width="11" style="5" customWidth="1"/>
    <col min="12272" max="12272" width="9.140625" style="5"/>
    <col min="12273" max="12273" width="0.7109375" style="5" customWidth="1"/>
    <col min="12274" max="12274" width="16.42578125" style="5" customWidth="1"/>
    <col min="12275" max="12275" width="9.140625" style="5"/>
    <col min="12276" max="12276" width="0.7109375" style="5" customWidth="1"/>
    <col min="12277" max="12277" width="11" style="5" customWidth="1"/>
    <col min="12278" max="12278" width="9.140625" style="5"/>
    <col min="12279" max="12279" width="0.7109375" style="5" customWidth="1"/>
    <col min="12280" max="12280" width="11" style="5" customWidth="1"/>
    <col min="12281" max="12281" width="9.140625" style="5"/>
    <col min="12282" max="12282" width="0.7109375" style="5" customWidth="1"/>
    <col min="12283" max="12283" width="11" style="5" customWidth="1"/>
    <col min="12284" max="12284" width="9.140625" style="5"/>
    <col min="12285" max="12285" width="0.7109375" style="5" customWidth="1"/>
    <col min="12286" max="12286" width="11" style="5" customWidth="1"/>
    <col min="12287" max="12287" width="9.140625" style="5"/>
    <col min="12288" max="12288" width="0.7109375" style="5" customWidth="1"/>
    <col min="12289" max="12289" width="11" style="5" customWidth="1"/>
    <col min="12290" max="12519" width="9.140625" style="5"/>
    <col min="12520" max="12520" width="21.140625" style="5" customWidth="1"/>
    <col min="12521" max="12521" width="11" style="5" customWidth="1"/>
    <col min="12522" max="12522" width="9" style="5" customWidth="1"/>
    <col min="12523" max="12523" width="0.7109375" style="5" customWidth="1"/>
    <col min="12524" max="12524" width="11" style="5" customWidth="1"/>
    <col min="12525" max="12525" width="9.140625" style="5"/>
    <col min="12526" max="12526" width="0.7109375" style="5" customWidth="1"/>
    <col min="12527" max="12527" width="11" style="5" customWidth="1"/>
    <col min="12528" max="12528" width="9.140625" style="5"/>
    <col min="12529" max="12529" width="0.7109375" style="5" customWidth="1"/>
    <col min="12530" max="12530" width="16.42578125" style="5" customWidth="1"/>
    <col min="12531" max="12531" width="9.140625" style="5"/>
    <col min="12532" max="12532" width="0.7109375" style="5" customWidth="1"/>
    <col min="12533" max="12533" width="11" style="5" customWidth="1"/>
    <col min="12534" max="12534" width="9.140625" style="5"/>
    <col min="12535" max="12535" width="0.7109375" style="5" customWidth="1"/>
    <col min="12536" max="12536" width="11" style="5" customWidth="1"/>
    <col min="12537" max="12537" width="9.140625" style="5"/>
    <col min="12538" max="12538" width="0.7109375" style="5" customWidth="1"/>
    <col min="12539" max="12539" width="11" style="5" customWidth="1"/>
    <col min="12540" max="12540" width="9.140625" style="5"/>
    <col min="12541" max="12541" width="0.7109375" style="5" customWidth="1"/>
    <col min="12542" max="12542" width="11" style="5" customWidth="1"/>
    <col min="12543" max="12543" width="9.140625" style="5"/>
    <col min="12544" max="12544" width="0.7109375" style="5" customWidth="1"/>
    <col min="12545" max="12545" width="11" style="5" customWidth="1"/>
    <col min="12546" max="12775" width="9.140625" style="5"/>
    <col min="12776" max="12776" width="21.140625" style="5" customWidth="1"/>
    <col min="12777" max="12777" width="11" style="5" customWidth="1"/>
    <col min="12778" max="12778" width="9" style="5" customWidth="1"/>
    <col min="12779" max="12779" width="0.7109375" style="5" customWidth="1"/>
    <col min="12780" max="12780" width="11" style="5" customWidth="1"/>
    <col min="12781" max="12781" width="9.140625" style="5"/>
    <col min="12782" max="12782" width="0.7109375" style="5" customWidth="1"/>
    <col min="12783" max="12783" width="11" style="5" customWidth="1"/>
    <col min="12784" max="12784" width="9.140625" style="5"/>
    <col min="12785" max="12785" width="0.7109375" style="5" customWidth="1"/>
    <col min="12786" max="12786" width="16.42578125" style="5" customWidth="1"/>
    <col min="12787" max="12787" width="9.140625" style="5"/>
    <col min="12788" max="12788" width="0.7109375" style="5" customWidth="1"/>
    <col min="12789" max="12789" width="11" style="5" customWidth="1"/>
    <col min="12790" max="12790" width="9.140625" style="5"/>
    <col min="12791" max="12791" width="0.7109375" style="5" customWidth="1"/>
    <col min="12792" max="12792" width="11" style="5" customWidth="1"/>
    <col min="12793" max="12793" width="9.140625" style="5"/>
    <col min="12794" max="12794" width="0.7109375" style="5" customWidth="1"/>
    <col min="12795" max="12795" width="11" style="5" customWidth="1"/>
    <col min="12796" max="12796" width="9.140625" style="5"/>
    <col min="12797" max="12797" width="0.7109375" style="5" customWidth="1"/>
    <col min="12798" max="12798" width="11" style="5" customWidth="1"/>
    <col min="12799" max="12799" width="9.140625" style="5"/>
    <col min="12800" max="12800" width="0.7109375" style="5" customWidth="1"/>
    <col min="12801" max="12801" width="11" style="5" customWidth="1"/>
    <col min="12802" max="13031" width="9.140625" style="5"/>
    <col min="13032" max="13032" width="21.140625" style="5" customWidth="1"/>
    <col min="13033" max="13033" width="11" style="5" customWidth="1"/>
    <col min="13034" max="13034" width="9" style="5" customWidth="1"/>
    <col min="13035" max="13035" width="0.7109375" style="5" customWidth="1"/>
    <col min="13036" max="13036" width="11" style="5" customWidth="1"/>
    <col min="13037" max="13037" width="9.140625" style="5"/>
    <col min="13038" max="13038" width="0.7109375" style="5" customWidth="1"/>
    <col min="13039" max="13039" width="11" style="5" customWidth="1"/>
    <col min="13040" max="13040" width="9.140625" style="5"/>
    <col min="13041" max="13041" width="0.7109375" style="5" customWidth="1"/>
    <col min="13042" max="13042" width="16.42578125" style="5" customWidth="1"/>
    <col min="13043" max="13043" width="9.140625" style="5"/>
    <col min="13044" max="13044" width="0.7109375" style="5" customWidth="1"/>
    <col min="13045" max="13045" width="11" style="5" customWidth="1"/>
    <col min="13046" max="13046" width="9.140625" style="5"/>
    <col min="13047" max="13047" width="0.7109375" style="5" customWidth="1"/>
    <col min="13048" max="13048" width="11" style="5" customWidth="1"/>
    <col min="13049" max="13049" width="9.140625" style="5"/>
    <col min="13050" max="13050" width="0.7109375" style="5" customWidth="1"/>
    <col min="13051" max="13051" width="11" style="5" customWidth="1"/>
    <col min="13052" max="13052" width="9.140625" style="5"/>
    <col min="13053" max="13053" width="0.7109375" style="5" customWidth="1"/>
    <col min="13054" max="13054" width="11" style="5" customWidth="1"/>
    <col min="13055" max="13055" width="9.140625" style="5"/>
    <col min="13056" max="13056" width="0.7109375" style="5" customWidth="1"/>
    <col min="13057" max="13057" width="11" style="5" customWidth="1"/>
    <col min="13058" max="13287" width="9.140625" style="5"/>
    <col min="13288" max="13288" width="21.140625" style="5" customWidth="1"/>
    <col min="13289" max="13289" width="11" style="5" customWidth="1"/>
    <col min="13290" max="13290" width="9" style="5" customWidth="1"/>
    <col min="13291" max="13291" width="0.7109375" style="5" customWidth="1"/>
    <col min="13292" max="13292" width="11" style="5" customWidth="1"/>
    <col min="13293" max="13293" width="9.140625" style="5"/>
    <col min="13294" max="13294" width="0.7109375" style="5" customWidth="1"/>
    <col min="13295" max="13295" width="11" style="5" customWidth="1"/>
    <col min="13296" max="13296" width="9.140625" style="5"/>
    <col min="13297" max="13297" width="0.7109375" style="5" customWidth="1"/>
    <col min="13298" max="13298" width="16.42578125" style="5" customWidth="1"/>
    <col min="13299" max="13299" width="9.140625" style="5"/>
    <col min="13300" max="13300" width="0.7109375" style="5" customWidth="1"/>
    <col min="13301" max="13301" width="11" style="5" customWidth="1"/>
    <col min="13302" max="13302" width="9.140625" style="5"/>
    <col min="13303" max="13303" width="0.7109375" style="5" customWidth="1"/>
    <col min="13304" max="13304" width="11" style="5" customWidth="1"/>
    <col min="13305" max="13305" width="9.140625" style="5"/>
    <col min="13306" max="13306" width="0.7109375" style="5" customWidth="1"/>
    <col min="13307" max="13307" width="11" style="5" customWidth="1"/>
    <col min="13308" max="13308" width="9.140625" style="5"/>
    <col min="13309" max="13309" width="0.7109375" style="5" customWidth="1"/>
    <col min="13310" max="13310" width="11" style="5" customWidth="1"/>
    <col min="13311" max="13311" width="9.140625" style="5"/>
    <col min="13312" max="13312" width="0.7109375" style="5" customWidth="1"/>
    <col min="13313" max="13313" width="11" style="5" customWidth="1"/>
    <col min="13314" max="13543" width="9.140625" style="5"/>
    <col min="13544" max="13544" width="21.140625" style="5" customWidth="1"/>
    <col min="13545" max="13545" width="11" style="5" customWidth="1"/>
    <col min="13546" max="13546" width="9" style="5" customWidth="1"/>
    <col min="13547" max="13547" width="0.7109375" style="5" customWidth="1"/>
    <col min="13548" max="13548" width="11" style="5" customWidth="1"/>
    <col min="13549" max="13549" width="9.140625" style="5"/>
    <col min="13550" max="13550" width="0.7109375" style="5" customWidth="1"/>
    <col min="13551" max="13551" width="11" style="5" customWidth="1"/>
    <col min="13552" max="13552" width="9.140625" style="5"/>
    <col min="13553" max="13553" width="0.7109375" style="5" customWidth="1"/>
    <col min="13554" max="13554" width="16.42578125" style="5" customWidth="1"/>
    <col min="13555" max="13555" width="9.140625" style="5"/>
    <col min="13556" max="13556" width="0.7109375" style="5" customWidth="1"/>
    <col min="13557" max="13557" width="11" style="5" customWidth="1"/>
    <col min="13558" max="13558" width="9.140625" style="5"/>
    <col min="13559" max="13559" width="0.7109375" style="5" customWidth="1"/>
    <col min="13560" max="13560" width="11" style="5" customWidth="1"/>
    <col min="13561" max="13561" width="9.140625" style="5"/>
    <col min="13562" max="13562" width="0.7109375" style="5" customWidth="1"/>
    <col min="13563" max="13563" width="11" style="5" customWidth="1"/>
    <col min="13564" max="13564" width="9.140625" style="5"/>
    <col min="13565" max="13565" width="0.7109375" style="5" customWidth="1"/>
    <col min="13566" max="13566" width="11" style="5" customWidth="1"/>
    <col min="13567" max="13567" width="9.140625" style="5"/>
    <col min="13568" max="13568" width="0.7109375" style="5" customWidth="1"/>
    <col min="13569" max="13569" width="11" style="5" customWidth="1"/>
    <col min="13570" max="13799" width="9.140625" style="5"/>
    <col min="13800" max="13800" width="21.140625" style="5" customWidth="1"/>
    <col min="13801" max="13801" width="11" style="5" customWidth="1"/>
    <col min="13802" max="13802" width="9" style="5" customWidth="1"/>
    <col min="13803" max="13803" width="0.7109375" style="5" customWidth="1"/>
    <col min="13804" max="13804" width="11" style="5" customWidth="1"/>
    <col min="13805" max="13805" width="9.140625" style="5"/>
    <col min="13806" max="13806" width="0.7109375" style="5" customWidth="1"/>
    <col min="13807" max="13807" width="11" style="5" customWidth="1"/>
    <col min="13808" max="13808" width="9.140625" style="5"/>
    <col min="13809" max="13809" width="0.7109375" style="5" customWidth="1"/>
    <col min="13810" max="13810" width="16.42578125" style="5" customWidth="1"/>
    <col min="13811" max="13811" width="9.140625" style="5"/>
    <col min="13812" max="13812" width="0.7109375" style="5" customWidth="1"/>
    <col min="13813" max="13813" width="11" style="5" customWidth="1"/>
    <col min="13814" max="13814" width="9.140625" style="5"/>
    <col min="13815" max="13815" width="0.7109375" style="5" customWidth="1"/>
    <col min="13816" max="13816" width="11" style="5" customWidth="1"/>
    <col min="13817" max="13817" width="9.140625" style="5"/>
    <col min="13818" max="13818" width="0.7109375" style="5" customWidth="1"/>
    <col min="13819" max="13819" width="11" style="5" customWidth="1"/>
    <col min="13820" max="13820" width="9.140625" style="5"/>
    <col min="13821" max="13821" width="0.7109375" style="5" customWidth="1"/>
    <col min="13822" max="13822" width="11" style="5" customWidth="1"/>
    <col min="13823" max="13823" width="9.140625" style="5"/>
    <col min="13824" max="13824" width="0.7109375" style="5" customWidth="1"/>
    <col min="13825" max="13825" width="11" style="5" customWidth="1"/>
    <col min="13826" max="14055" width="9.140625" style="5"/>
    <col min="14056" max="14056" width="21.140625" style="5" customWidth="1"/>
    <col min="14057" max="14057" width="11" style="5" customWidth="1"/>
    <col min="14058" max="14058" width="9" style="5" customWidth="1"/>
    <col min="14059" max="14059" width="0.7109375" style="5" customWidth="1"/>
    <col min="14060" max="14060" width="11" style="5" customWidth="1"/>
    <col min="14061" max="14061" width="9.140625" style="5"/>
    <col min="14062" max="14062" width="0.7109375" style="5" customWidth="1"/>
    <col min="14063" max="14063" width="11" style="5" customWidth="1"/>
    <col min="14064" max="14064" width="9.140625" style="5"/>
    <col min="14065" max="14065" width="0.7109375" style="5" customWidth="1"/>
    <col min="14066" max="14066" width="16.42578125" style="5" customWidth="1"/>
    <col min="14067" max="14067" width="9.140625" style="5"/>
    <col min="14068" max="14068" width="0.7109375" style="5" customWidth="1"/>
    <col min="14069" max="14069" width="11" style="5" customWidth="1"/>
    <col min="14070" max="14070" width="9.140625" style="5"/>
    <col min="14071" max="14071" width="0.7109375" style="5" customWidth="1"/>
    <col min="14072" max="14072" width="11" style="5" customWidth="1"/>
    <col min="14073" max="14073" width="9.140625" style="5"/>
    <col min="14074" max="14074" width="0.7109375" style="5" customWidth="1"/>
    <col min="14075" max="14075" width="11" style="5" customWidth="1"/>
    <col min="14076" max="14076" width="9.140625" style="5"/>
    <col min="14077" max="14077" width="0.7109375" style="5" customWidth="1"/>
    <col min="14078" max="14078" width="11" style="5" customWidth="1"/>
    <col min="14079" max="14079" width="9.140625" style="5"/>
    <col min="14080" max="14080" width="0.7109375" style="5" customWidth="1"/>
    <col min="14081" max="14081" width="11" style="5" customWidth="1"/>
    <col min="14082" max="14311" width="9.140625" style="5"/>
    <col min="14312" max="14312" width="21.140625" style="5" customWidth="1"/>
    <col min="14313" max="14313" width="11" style="5" customWidth="1"/>
    <col min="14314" max="14314" width="9" style="5" customWidth="1"/>
    <col min="14315" max="14315" width="0.7109375" style="5" customWidth="1"/>
    <col min="14316" max="14316" width="11" style="5" customWidth="1"/>
    <col min="14317" max="14317" width="9.140625" style="5"/>
    <col min="14318" max="14318" width="0.7109375" style="5" customWidth="1"/>
    <col min="14319" max="14319" width="11" style="5" customWidth="1"/>
    <col min="14320" max="14320" width="9.140625" style="5"/>
    <col min="14321" max="14321" width="0.7109375" style="5" customWidth="1"/>
    <col min="14322" max="14322" width="16.42578125" style="5" customWidth="1"/>
    <col min="14323" max="14323" width="9.140625" style="5"/>
    <col min="14324" max="14324" width="0.7109375" style="5" customWidth="1"/>
    <col min="14325" max="14325" width="11" style="5" customWidth="1"/>
    <col min="14326" max="14326" width="9.140625" style="5"/>
    <col min="14327" max="14327" width="0.7109375" style="5" customWidth="1"/>
    <col min="14328" max="14328" width="11" style="5" customWidth="1"/>
    <col min="14329" max="14329" width="9.140625" style="5"/>
    <col min="14330" max="14330" width="0.7109375" style="5" customWidth="1"/>
    <col min="14331" max="14331" width="11" style="5" customWidth="1"/>
    <col min="14332" max="14332" width="9.140625" style="5"/>
    <col min="14333" max="14333" width="0.7109375" style="5" customWidth="1"/>
    <col min="14334" max="14334" width="11" style="5" customWidth="1"/>
    <col min="14335" max="14335" width="9.140625" style="5"/>
    <col min="14336" max="14336" width="0.7109375" style="5" customWidth="1"/>
    <col min="14337" max="14337" width="11" style="5" customWidth="1"/>
    <col min="14338" max="14567" width="9.140625" style="5"/>
    <col min="14568" max="14568" width="21.140625" style="5" customWidth="1"/>
    <col min="14569" max="14569" width="11" style="5" customWidth="1"/>
    <col min="14570" max="14570" width="9" style="5" customWidth="1"/>
    <col min="14571" max="14571" width="0.7109375" style="5" customWidth="1"/>
    <col min="14572" max="14572" width="11" style="5" customWidth="1"/>
    <col min="14573" max="14573" width="9.140625" style="5"/>
    <col min="14574" max="14574" width="0.7109375" style="5" customWidth="1"/>
    <col min="14575" max="14575" width="11" style="5" customWidth="1"/>
    <col min="14576" max="14576" width="9.140625" style="5"/>
    <col min="14577" max="14577" width="0.7109375" style="5" customWidth="1"/>
    <col min="14578" max="14578" width="16.42578125" style="5" customWidth="1"/>
    <col min="14579" max="14579" width="9.140625" style="5"/>
    <col min="14580" max="14580" width="0.7109375" style="5" customWidth="1"/>
    <col min="14581" max="14581" width="11" style="5" customWidth="1"/>
    <col min="14582" max="14582" width="9.140625" style="5"/>
    <col min="14583" max="14583" width="0.7109375" style="5" customWidth="1"/>
    <col min="14584" max="14584" width="11" style="5" customWidth="1"/>
    <col min="14585" max="14585" width="9.140625" style="5"/>
    <col min="14586" max="14586" width="0.7109375" style="5" customWidth="1"/>
    <col min="14587" max="14587" width="11" style="5" customWidth="1"/>
    <col min="14588" max="14588" width="9.140625" style="5"/>
    <col min="14589" max="14589" width="0.7109375" style="5" customWidth="1"/>
    <col min="14590" max="14590" width="11" style="5" customWidth="1"/>
    <col min="14591" max="14591" width="9.140625" style="5"/>
    <col min="14592" max="14592" width="0.7109375" style="5" customWidth="1"/>
    <col min="14593" max="14593" width="11" style="5" customWidth="1"/>
    <col min="14594" max="14823" width="9.140625" style="5"/>
    <col min="14824" max="14824" width="21.140625" style="5" customWidth="1"/>
    <col min="14825" max="14825" width="11" style="5" customWidth="1"/>
    <col min="14826" max="14826" width="9" style="5" customWidth="1"/>
    <col min="14827" max="14827" width="0.7109375" style="5" customWidth="1"/>
    <col min="14828" max="14828" width="11" style="5" customWidth="1"/>
    <col min="14829" max="14829" width="9.140625" style="5"/>
    <col min="14830" max="14830" width="0.7109375" style="5" customWidth="1"/>
    <col min="14831" max="14831" width="11" style="5" customWidth="1"/>
    <col min="14832" max="14832" width="9.140625" style="5"/>
    <col min="14833" max="14833" width="0.7109375" style="5" customWidth="1"/>
    <col min="14834" max="14834" width="16.42578125" style="5" customWidth="1"/>
    <col min="14835" max="14835" width="9.140625" style="5"/>
    <col min="14836" max="14836" width="0.7109375" style="5" customWidth="1"/>
    <col min="14837" max="14837" width="11" style="5" customWidth="1"/>
    <col min="14838" max="14838" width="9.140625" style="5"/>
    <col min="14839" max="14839" width="0.7109375" style="5" customWidth="1"/>
    <col min="14840" max="14840" width="11" style="5" customWidth="1"/>
    <col min="14841" max="14841" width="9.140625" style="5"/>
    <col min="14842" max="14842" width="0.7109375" style="5" customWidth="1"/>
    <col min="14843" max="14843" width="11" style="5" customWidth="1"/>
    <col min="14844" max="14844" width="9.140625" style="5"/>
    <col min="14845" max="14845" width="0.7109375" style="5" customWidth="1"/>
    <col min="14846" max="14846" width="11" style="5" customWidth="1"/>
    <col min="14847" max="14847" width="9.140625" style="5"/>
    <col min="14848" max="14848" width="0.7109375" style="5" customWidth="1"/>
    <col min="14849" max="14849" width="11" style="5" customWidth="1"/>
    <col min="14850" max="15079" width="9.140625" style="5"/>
    <col min="15080" max="15080" width="21.140625" style="5" customWidth="1"/>
    <col min="15081" max="15081" width="11" style="5" customWidth="1"/>
    <col min="15082" max="15082" width="9" style="5" customWidth="1"/>
    <col min="15083" max="15083" width="0.7109375" style="5" customWidth="1"/>
    <col min="15084" max="15084" width="11" style="5" customWidth="1"/>
    <col min="15085" max="15085" width="9.140625" style="5"/>
    <col min="15086" max="15086" width="0.7109375" style="5" customWidth="1"/>
    <col min="15087" max="15087" width="11" style="5" customWidth="1"/>
    <col min="15088" max="15088" width="9.140625" style="5"/>
    <col min="15089" max="15089" width="0.7109375" style="5" customWidth="1"/>
    <col min="15090" max="15090" width="16.42578125" style="5" customWidth="1"/>
    <col min="15091" max="15091" width="9.140625" style="5"/>
    <col min="15092" max="15092" width="0.7109375" style="5" customWidth="1"/>
    <col min="15093" max="15093" width="11" style="5" customWidth="1"/>
    <col min="15094" max="15094" width="9.140625" style="5"/>
    <col min="15095" max="15095" width="0.7109375" style="5" customWidth="1"/>
    <col min="15096" max="15096" width="11" style="5" customWidth="1"/>
    <col min="15097" max="15097" width="9.140625" style="5"/>
    <col min="15098" max="15098" width="0.7109375" style="5" customWidth="1"/>
    <col min="15099" max="15099" width="11" style="5" customWidth="1"/>
    <col min="15100" max="15100" width="9.140625" style="5"/>
    <col min="15101" max="15101" width="0.7109375" style="5" customWidth="1"/>
    <col min="15102" max="15102" width="11" style="5" customWidth="1"/>
    <col min="15103" max="15103" width="9.140625" style="5"/>
    <col min="15104" max="15104" width="0.7109375" style="5" customWidth="1"/>
    <col min="15105" max="15105" width="11" style="5" customWidth="1"/>
    <col min="15106" max="15335" width="9.140625" style="5"/>
    <col min="15336" max="15336" width="21.140625" style="5" customWidth="1"/>
    <col min="15337" max="15337" width="11" style="5" customWidth="1"/>
    <col min="15338" max="15338" width="9" style="5" customWidth="1"/>
    <col min="15339" max="15339" width="0.7109375" style="5" customWidth="1"/>
    <col min="15340" max="15340" width="11" style="5" customWidth="1"/>
    <col min="15341" max="15341" width="9.140625" style="5"/>
    <col min="15342" max="15342" width="0.7109375" style="5" customWidth="1"/>
    <col min="15343" max="15343" width="11" style="5" customWidth="1"/>
    <col min="15344" max="15344" width="9.140625" style="5"/>
    <col min="15345" max="15345" width="0.7109375" style="5" customWidth="1"/>
    <col min="15346" max="15346" width="16.42578125" style="5" customWidth="1"/>
    <col min="15347" max="15347" width="9.140625" style="5"/>
    <col min="15348" max="15348" width="0.7109375" style="5" customWidth="1"/>
    <col min="15349" max="15349" width="11" style="5" customWidth="1"/>
    <col min="15350" max="15350" width="9.140625" style="5"/>
    <col min="15351" max="15351" width="0.7109375" style="5" customWidth="1"/>
    <col min="15352" max="15352" width="11" style="5" customWidth="1"/>
    <col min="15353" max="15353" width="9.140625" style="5"/>
    <col min="15354" max="15354" width="0.7109375" style="5" customWidth="1"/>
    <col min="15355" max="15355" width="11" style="5" customWidth="1"/>
    <col min="15356" max="15356" width="9.140625" style="5"/>
    <col min="15357" max="15357" width="0.7109375" style="5" customWidth="1"/>
    <col min="15358" max="15358" width="11" style="5" customWidth="1"/>
    <col min="15359" max="15359" width="9.140625" style="5"/>
    <col min="15360" max="15360" width="0.7109375" style="5" customWidth="1"/>
    <col min="15361" max="15361" width="11" style="5" customWidth="1"/>
    <col min="15362" max="15591" width="9.140625" style="5"/>
    <col min="15592" max="15592" width="21.140625" style="5" customWidth="1"/>
    <col min="15593" max="15593" width="11" style="5" customWidth="1"/>
    <col min="15594" max="15594" width="9" style="5" customWidth="1"/>
    <col min="15595" max="15595" width="0.7109375" style="5" customWidth="1"/>
    <col min="15596" max="15596" width="11" style="5" customWidth="1"/>
    <col min="15597" max="15597" width="9.140625" style="5"/>
    <col min="15598" max="15598" width="0.7109375" style="5" customWidth="1"/>
    <col min="15599" max="15599" width="11" style="5" customWidth="1"/>
    <col min="15600" max="15600" width="9.140625" style="5"/>
    <col min="15601" max="15601" width="0.7109375" style="5" customWidth="1"/>
    <col min="15602" max="15602" width="16.42578125" style="5" customWidth="1"/>
    <col min="15603" max="15603" width="9.140625" style="5"/>
    <col min="15604" max="15604" width="0.7109375" style="5" customWidth="1"/>
    <col min="15605" max="15605" width="11" style="5" customWidth="1"/>
    <col min="15606" max="15606" width="9.140625" style="5"/>
    <col min="15607" max="15607" width="0.7109375" style="5" customWidth="1"/>
    <col min="15608" max="15608" width="11" style="5" customWidth="1"/>
    <col min="15609" max="15609" width="9.140625" style="5"/>
    <col min="15610" max="15610" width="0.7109375" style="5" customWidth="1"/>
    <col min="15611" max="15611" width="11" style="5" customWidth="1"/>
    <col min="15612" max="15612" width="9.140625" style="5"/>
    <col min="15613" max="15613" width="0.7109375" style="5" customWidth="1"/>
    <col min="15614" max="15614" width="11" style="5" customWidth="1"/>
    <col min="15615" max="15615" width="9.140625" style="5"/>
    <col min="15616" max="15616" width="0.7109375" style="5" customWidth="1"/>
    <col min="15617" max="15617" width="11" style="5" customWidth="1"/>
    <col min="15618" max="15847" width="9.140625" style="5"/>
    <col min="15848" max="15848" width="21.140625" style="5" customWidth="1"/>
    <col min="15849" max="15849" width="11" style="5" customWidth="1"/>
    <col min="15850" max="15850" width="9" style="5" customWidth="1"/>
    <col min="15851" max="15851" width="0.7109375" style="5" customWidth="1"/>
    <col min="15852" max="15852" width="11" style="5" customWidth="1"/>
    <col min="15853" max="15853" width="9.140625" style="5"/>
    <col min="15854" max="15854" width="0.7109375" style="5" customWidth="1"/>
    <col min="15855" max="15855" width="11" style="5" customWidth="1"/>
    <col min="15856" max="15856" width="9.140625" style="5"/>
    <col min="15857" max="15857" width="0.7109375" style="5" customWidth="1"/>
    <col min="15858" max="15858" width="16.42578125" style="5" customWidth="1"/>
    <col min="15859" max="15859" width="9.140625" style="5"/>
    <col min="15860" max="15860" width="0.7109375" style="5" customWidth="1"/>
    <col min="15861" max="15861" width="11" style="5" customWidth="1"/>
    <col min="15862" max="15862" width="9.140625" style="5"/>
    <col min="15863" max="15863" width="0.7109375" style="5" customWidth="1"/>
    <col min="15864" max="15864" width="11" style="5" customWidth="1"/>
    <col min="15865" max="15865" width="9.140625" style="5"/>
    <col min="15866" max="15866" width="0.7109375" style="5" customWidth="1"/>
    <col min="15867" max="15867" width="11" style="5" customWidth="1"/>
    <col min="15868" max="15868" width="9.140625" style="5"/>
    <col min="15869" max="15869" width="0.7109375" style="5" customWidth="1"/>
    <col min="15870" max="15870" width="11" style="5" customWidth="1"/>
    <col min="15871" max="15871" width="9.140625" style="5"/>
    <col min="15872" max="15872" width="0.7109375" style="5" customWidth="1"/>
    <col min="15873" max="15873" width="11" style="5" customWidth="1"/>
    <col min="15874" max="16103" width="9.140625" style="5"/>
    <col min="16104" max="16104" width="21.140625" style="5" customWidth="1"/>
    <col min="16105" max="16105" width="11" style="5" customWidth="1"/>
    <col min="16106" max="16106" width="9" style="5" customWidth="1"/>
    <col min="16107" max="16107" width="0.7109375" style="5" customWidth="1"/>
    <col min="16108" max="16108" width="11" style="5" customWidth="1"/>
    <col min="16109" max="16109" width="9.140625" style="5"/>
    <col min="16110" max="16110" width="0.7109375" style="5" customWidth="1"/>
    <col min="16111" max="16111" width="11" style="5" customWidth="1"/>
    <col min="16112" max="16112" width="9.140625" style="5"/>
    <col min="16113" max="16113" width="0.7109375" style="5" customWidth="1"/>
    <col min="16114" max="16114" width="16.42578125" style="5" customWidth="1"/>
    <col min="16115" max="16115" width="9.140625" style="5"/>
    <col min="16116" max="16116" width="0.7109375" style="5" customWidth="1"/>
    <col min="16117" max="16117" width="11" style="5" customWidth="1"/>
    <col min="16118" max="16118" width="9.140625" style="5"/>
    <col min="16119" max="16119" width="0.7109375" style="5" customWidth="1"/>
    <col min="16120" max="16120" width="11" style="5" customWidth="1"/>
    <col min="16121" max="16121" width="9.140625" style="5"/>
    <col min="16122" max="16122" width="0.7109375" style="5" customWidth="1"/>
    <col min="16123" max="16123" width="11" style="5" customWidth="1"/>
    <col min="16124" max="16124" width="9.140625" style="5"/>
    <col min="16125" max="16125" width="0.7109375" style="5" customWidth="1"/>
    <col min="16126" max="16126" width="11" style="5" customWidth="1"/>
    <col min="16127" max="16127" width="9.140625" style="5"/>
    <col min="16128" max="16128" width="0.7109375" style="5" customWidth="1"/>
    <col min="16129" max="16129" width="11" style="5" customWidth="1"/>
    <col min="16130" max="16359" width="9.140625" style="5"/>
    <col min="16360" max="16384" width="8.85546875" style="5" customWidth="1"/>
  </cols>
  <sheetData>
    <row r="1" spans="1:23" ht="18.75" x14ac:dyDescent="0.2">
      <c r="A1" s="9" t="s">
        <v>36</v>
      </c>
      <c r="B1" s="4"/>
      <c r="C1" s="4"/>
      <c r="D1" s="4"/>
      <c r="E1" s="4"/>
      <c r="F1" s="4"/>
    </row>
    <row r="2" spans="1:23" ht="15.75" customHeight="1" x14ac:dyDescent="0.2">
      <c r="A2" s="3"/>
      <c r="B2" s="4"/>
      <c r="C2" s="4"/>
      <c r="D2" s="4"/>
      <c r="E2" s="4"/>
      <c r="F2" s="4"/>
    </row>
    <row r="3" spans="1:23" ht="15.75" customHeight="1" x14ac:dyDescent="0.2">
      <c r="A3" s="52" t="s">
        <v>78</v>
      </c>
      <c r="B3" s="4"/>
      <c r="C3" s="4"/>
      <c r="D3" s="4"/>
      <c r="E3" s="4"/>
      <c r="F3" s="4"/>
    </row>
    <row r="4" spans="1:23" ht="15.75" customHeight="1" x14ac:dyDescent="0.2">
      <c r="A4" s="6"/>
      <c r="B4" s="8" t="s">
        <v>5</v>
      </c>
      <c r="C4" s="8" t="s">
        <v>6</v>
      </c>
      <c r="D4" s="8" t="s">
        <v>7</v>
      </c>
      <c r="E4" s="8" t="s">
        <v>0</v>
      </c>
      <c r="F4" s="8" t="s">
        <v>1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5.75" customHeight="1" x14ac:dyDescent="0.2">
      <c r="A5" s="1" t="s">
        <v>2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H5" s="14" t="s">
        <v>19</v>
      </c>
      <c r="I5" s="12"/>
      <c r="J5" s="12"/>
      <c r="K5" s="92" t="s">
        <v>100</v>
      </c>
      <c r="L5" s="12"/>
      <c r="M5" s="18"/>
      <c r="N5" s="14" t="s">
        <v>22</v>
      </c>
      <c r="O5" s="14"/>
      <c r="P5" s="92" t="s">
        <v>100</v>
      </c>
      <c r="Q5" s="14"/>
      <c r="R5" s="18"/>
      <c r="S5" s="14" t="s">
        <v>17</v>
      </c>
      <c r="T5" s="14"/>
      <c r="U5" s="92" t="s">
        <v>100</v>
      </c>
      <c r="V5" s="12"/>
      <c r="W5" s="12"/>
    </row>
    <row r="6" spans="1:23" ht="15.75" customHeight="1" x14ac:dyDescent="0.2">
      <c r="A6" s="2" t="s">
        <v>39</v>
      </c>
      <c r="B6" s="11">
        <v>29.47</v>
      </c>
      <c r="C6" s="11"/>
      <c r="D6" s="11">
        <v>27.71</v>
      </c>
      <c r="E6" s="11">
        <v>24.27</v>
      </c>
      <c r="F6" s="11">
        <v>53.57</v>
      </c>
      <c r="H6" s="12" t="s">
        <v>9</v>
      </c>
      <c r="I6" s="12" t="s">
        <v>37</v>
      </c>
      <c r="J6" s="15">
        <f>B7</f>
        <v>28.78</v>
      </c>
      <c r="K6" s="68" t="s">
        <v>61</v>
      </c>
      <c r="L6" s="16">
        <f>B8</f>
        <v>28.97</v>
      </c>
      <c r="M6" s="18"/>
      <c r="N6" s="12" t="s">
        <v>60</v>
      </c>
      <c r="O6" s="44">
        <f>E6</f>
        <v>24.27</v>
      </c>
      <c r="P6" s="68" t="s">
        <v>56</v>
      </c>
      <c r="Q6" s="16">
        <f>E13</f>
        <v>27.88</v>
      </c>
      <c r="R6" s="18"/>
      <c r="S6" s="12" t="s">
        <v>60</v>
      </c>
      <c r="T6" s="13">
        <f>F6</f>
        <v>53.57</v>
      </c>
      <c r="U6" s="68" t="s">
        <v>38</v>
      </c>
      <c r="V6" s="16">
        <f>F9</f>
        <v>55.84</v>
      </c>
      <c r="W6" s="12"/>
    </row>
    <row r="7" spans="1:23" ht="15.75" customHeight="1" x14ac:dyDescent="0.2">
      <c r="A7" s="2" t="s">
        <v>37</v>
      </c>
      <c r="B7" s="11">
        <v>28.78</v>
      </c>
      <c r="C7" s="11"/>
      <c r="D7" s="11">
        <v>28.11</v>
      </c>
      <c r="E7" s="11">
        <v>24.59</v>
      </c>
      <c r="F7" s="11">
        <v>55.07</v>
      </c>
      <c r="H7" s="12" t="s">
        <v>10</v>
      </c>
      <c r="I7" s="12" t="s">
        <v>41</v>
      </c>
      <c r="J7" s="15">
        <f>C11</f>
        <v>32.729999999999997</v>
      </c>
      <c r="K7" s="68" t="s">
        <v>41</v>
      </c>
      <c r="L7" s="16">
        <f>C11</f>
        <v>32.729999999999997</v>
      </c>
      <c r="M7" s="18"/>
      <c r="N7" s="12" t="s">
        <v>37</v>
      </c>
      <c r="O7" s="44">
        <f t="shared" ref="O7:O9" si="0">E7</f>
        <v>24.59</v>
      </c>
      <c r="P7" s="68" t="s">
        <v>37</v>
      </c>
      <c r="Q7" s="16">
        <f>E7</f>
        <v>24.59</v>
      </c>
      <c r="R7" s="18"/>
      <c r="S7" s="12" t="s">
        <v>37</v>
      </c>
      <c r="T7" s="13">
        <f>F7</f>
        <v>55.07</v>
      </c>
      <c r="U7" s="68" t="s">
        <v>37</v>
      </c>
      <c r="V7" s="16">
        <f>F7</f>
        <v>55.07</v>
      </c>
      <c r="W7" s="12"/>
    </row>
    <row r="8" spans="1:23" ht="15.75" customHeight="1" x14ac:dyDescent="0.2">
      <c r="A8" s="2" t="s">
        <v>61</v>
      </c>
      <c r="B8" s="11">
        <v>28.97</v>
      </c>
      <c r="C8" s="11">
        <v>33.76</v>
      </c>
      <c r="D8" s="11">
        <v>29.45</v>
      </c>
      <c r="E8" s="11">
        <v>25.19</v>
      </c>
      <c r="F8" s="11">
        <v>56.52</v>
      </c>
      <c r="H8" s="12" t="s">
        <v>11</v>
      </c>
      <c r="I8" s="12" t="s">
        <v>38</v>
      </c>
      <c r="J8" s="15">
        <f>D9</f>
        <v>27.42</v>
      </c>
      <c r="K8" s="68" t="s">
        <v>56</v>
      </c>
      <c r="L8" s="90">
        <v>30</v>
      </c>
      <c r="M8" s="18"/>
      <c r="N8" s="12" t="s">
        <v>61</v>
      </c>
      <c r="O8" s="44">
        <f t="shared" si="0"/>
        <v>25.19</v>
      </c>
      <c r="P8" s="68" t="s">
        <v>38</v>
      </c>
      <c r="Q8" s="16">
        <f>E9</f>
        <v>25.49</v>
      </c>
      <c r="R8" s="18"/>
      <c r="S8" s="12" t="s">
        <v>38</v>
      </c>
      <c r="T8" s="13">
        <f>F9</f>
        <v>55.84</v>
      </c>
      <c r="U8" s="68" t="s">
        <v>61</v>
      </c>
      <c r="V8" s="16">
        <f>F8</f>
        <v>56.52</v>
      </c>
      <c r="W8" s="12"/>
    </row>
    <row r="9" spans="1:23" ht="15.75" customHeight="1" x14ac:dyDescent="0.2">
      <c r="A9" s="2" t="s">
        <v>38</v>
      </c>
      <c r="B9" s="11">
        <v>28.32</v>
      </c>
      <c r="C9" s="11">
        <v>33.75</v>
      </c>
      <c r="D9" s="11">
        <v>27.42</v>
      </c>
      <c r="E9" s="11">
        <v>25.49</v>
      </c>
      <c r="F9" s="11">
        <v>55.84</v>
      </c>
      <c r="H9" s="12" t="s">
        <v>12</v>
      </c>
      <c r="I9" s="21" t="s">
        <v>60</v>
      </c>
      <c r="J9" s="25">
        <f>E6</f>
        <v>24.27</v>
      </c>
      <c r="K9" s="70" t="s">
        <v>57</v>
      </c>
      <c r="L9" s="89">
        <f>E14</f>
        <v>27.92</v>
      </c>
      <c r="M9" s="18"/>
      <c r="N9" s="21" t="s">
        <v>38</v>
      </c>
      <c r="O9" s="23">
        <f t="shared" si="0"/>
        <v>25.49</v>
      </c>
      <c r="P9" s="70" t="s">
        <v>60</v>
      </c>
      <c r="Q9" s="89">
        <f>E6</f>
        <v>24.27</v>
      </c>
      <c r="R9" s="18"/>
      <c r="S9" s="21" t="s">
        <v>43</v>
      </c>
      <c r="T9" s="22">
        <f>F8</f>
        <v>56.52</v>
      </c>
      <c r="U9" s="70" t="s">
        <v>60</v>
      </c>
      <c r="V9" s="89">
        <f>F6</f>
        <v>53.57</v>
      </c>
      <c r="W9" s="12"/>
    </row>
    <row r="10" spans="1:23" ht="15.75" customHeight="1" x14ac:dyDescent="0.2">
      <c r="A10" s="2" t="s">
        <v>40</v>
      </c>
      <c r="B10" s="11"/>
      <c r="C10" s="11">
        <v>37.61</v>
      </c>
      <c r="D10" s="11">
        <v>32.39</v>
      </c>
      <c r="E10" s="11">
        <v>26.65</v>
      </c>
      <c r="F10" s="11">
        <v>61.05</v>
      </c>
      <c r="H10" s="12"/>
      <c r="I10" s="12" t="s">
        <v>30</v>
      </c>
      <c r="J10" s="13">
        <f>SUM(J6:J9)</f>
        <v>113.2</v>
      </c>
      <c r="K10" s="20"/>
      <c r="L10" s="17">
        <f>SUM(L6:L9)</f>
        <v>119.61999999999999</v>
      </c>
      <c r="M10" s="18"/>
      <c r="N10" s="12" t="s">
        <v>30</v>
      </c>
      <c r="O10" s="13">
        <f>SUM(O6:O9)</f>
        <v>99.539999999999992</v>
      </c>
      <c r="P10" s="20" t="s">
        <v>30</v>
      </c>
      <c r="Q10" s="16">
        <f>SUM(Q6:Q9)</f>
        <v>102.22999999999999</v>
      </c>
      <c r="R10" s="18"/>
      <c r="S10" s="12" t="s">
        <v>30</v>
      </c>
      <c r="T10" s="13">
        <f>SUM(T6:T9)</f>
        <v>221.00000000000003</v>
      </c>
      <c r="U10" s="20" t="s">
        <v>30</v>
      </c>
      <c r="V10" s="13">
        <f>SUM(V6:V9)</f>
        <v>221</v>
      </c>
      <c r="W10" s="12"/>
    </row>
    <row r="11" spans="1:23" ht="15.75" customHeight="1" x14ac:dyDescent="0.2">
      <c r="A11" s="2" t="s">
        <v>41</v>
      </c>
      <c r="B11" s="11"/>
      <c r="C11" s="11">
        <v>32.729999999999997</v>
      </c>
      <c r="D11" s="11">
        <v>29.29</v>
      </c>
      <c r="E11" s="11">
        <v>27.09</v>
      </c>
      <c r="F11" s="11">
        <v>57.71</v>
      </c>
      <c r="H11" s="12"/>
      <c r="I11" s="12" t="s">
        <v>31</v>
      </c>
      <c r="J11" s="13">
        <f>J10-60</f>
        <v>53.2</v>
      </c>
      <c r="K11" s="20"/>
      <c r="L11" s="16">
        <f>L10-60</f>
        <v>59.61999999999999</v>
      </c>
      <c r="M11" s="18"/>
      <c r="N11" s="12" t="s">
        <v>31</v>
      </c>
      <c r="O11" s="13">
        <f>O10-60</f>
        <v>39.539999999999992</v>
      </c>
      <c r="P11" s="20" t="s">
        <v>31</v>
      </c>
      <c r="Q11" s="16">
        <f>Q10-60</f>
        <v>42.22999999999999</v>
      </c>
      <c r="R11" s="18"/>
      <c r="S11" s="12" t="s">
        <v>29</v>
      </c>
      <c r="T11" s="16">
        <f>T10-180</f>
        <v>41.000000000000028</v>
      </c>
      <c r="U11" s="20" t="s">
        <v>29</v>
      </c>
      <c r="V11" s="16">
        <f>V10-180</f>
        <v>41</v>
      </c>
      <c r="W11" s="12"/>
    </row>
    <row r="12" spans="1:23" ht="15.75" customHeight="1" x14ac:dyDescent="0.2">
      <c r="A12" s="2" t="s">
        <v>42</v>
      </c>
      <c r="B12" s="11"/>
      <c r="C12" s="11"/>
      <c r="D12" s="11"/>
      <c r="E12" s="11">
        <v>27.46</v>
      </c>
      <c r="F12" s="11"/>
      <c r="H12" s="14" t="s">
        <v>18</v>
      </c>
      <c r="I12" s="12"/>
      <c r="J12" s="13"/>
      <c r="K12" s="20"/>
      <c r="L12" s="16"/>
      <c r="M12" s="18"/>
      <c r="N12" s="14" t="s">
        <v>24</v>
      </c>
      <c r="O12" s="12"/>
      <c r="P12" s="20"/>
      <c r="Q12" s="14"/>
      <c r="R12" s="18"/>
      <c r="S12" s="14" t="s">
        <v>25</v>
      </c>
      <c r="T12" s="12"/>
      <c r="U12" s="20"/>
      <c r="V12" s="16"/>
      <c r="W12" s="12"/>
    </row>
    <row r="13" spans="1:23" ht="15.75" customHeight="1" x14ac:dyDescent="0.2">
      <c r="A13" s="2" t="s">
        <v>56</v>
      </c>
      <c r="B13" s="11">
        <v>31.54</v>
      </c>
      <c r="C13" s="11">
        <v>35.85</v>
      </c>
      <c r="D13" s="11"/>
      <c r="E13" s="11">
        <v>27.88</v>
      </c>
      <c r="F13" s="11">
        <v>62.92</v>
      </c>
      <c r="H13" s="12" t="s">
        <v>9</v>
      </c>
      <c r="I13" s="12" t="s">
        <v>61</v>
      </c>
      <c r="J13" s="44">
        <f>B8</f>
        <v>28.97</v>
      </c>
      <c r="K13" s="68" t="s">
        <v>102</v>
      </c>
      <c r="L13" s="91"/>
      <c r="M13" s="18"/>
      <c r="N13" s="12" t="s">
        <v>40</v>
      </c>
      <c r="O13" s="44">
        <f>E10</f>
        <v>26.65</v>
      </c>
      <c r="P13" s="68" t="s">
        <v>57</v>
      </c>
      <c r="Q13" s="16">
        <f>E14</f>
        <v>27.92</v>
      </c>
      <c r="R13" s="18"/>
      <c r="S13" s="12" t="s">
        <v>41</v>
      </c>
      <c r="T13" s="13">
        <f>F11</f>
        <v>57.71</v>
      </c>
      <c r="U13" s="68" t="s">
        <v>58</v>
      </c>
      <c r="V13" s="16">
        <f>F16</f>
        <v>67.95</v>
      </c>
      <c r="W13" s="12"/>
    </row>
    <row r="14" spans="1:23" ht="15.75" customHeight="1" x14ac:dyDescent="0.2">
      <c r="A14" s="2" t="s">
        <v>57</v>
      </c>
      <c r="B14" s="11"/>
      <c r="C14" s="11">
        <v>38.47</v>
      </c>
      <c r="D14" s="11"/>
      <c r="E14" s="11">
        <v>27.92</v>
      </c>
      <c r="F14" s="11">
        <v>61.85</v>
      </c>
      <c r="H14" s="12" t="s">
        <v>10</v>
      </c>
      <c r="I14" s="12" t="s">
        <v>56</v>
      </c>
      <c r="J14" s="44">
        <f>C13</f>
        <v>35.85</v>
      </c>
      <c r="K14" s="68" t="s">
        <v>103</v>
      </c>
      <c r="L14" s="91"/>
      <c r="M14" s="18"/>
      <c r="N14" s="12" t="s">
        <v>41</v>
      </c>
      <c r="O14" s="44">
        <f t="shared" ref="O14:O16" si="1">E11</f>
        <v>27.09</v>
      </c>
      <c r="P14" s="68" t="s">
        <v>58</v>
      </c>
      <c r="Q14" s="16">
        <f>E16</f>
        <v>29.45</v>
      </c>
      <c r="R14" s="18"/>
      <c r="S14" s="12" t="s">
        <v>40</v>
      </c>
      <c r="T14" s="13">
        <f>F10</f>
        <v>61.05</v>
      </c>
      <c r="U14" s="68" t="s">
        <v>104</v>
      </c>
      <c r="V14" s="16">
        <f>F18</f>
        <v>73.19</v>
      </c>
      <c r="W14" s="12"/>
    </row>
    <row r="15" spans="1:23" ht="15.75" customHeight="1" x14ac:dyDescent="0.2">
      <c r="A15" s="2" t="s">
        <v>59</v>
      </c>
      <c r="B15" s="11"/>
      <c r="C15" s="11"/>
      <c r="D15" s="11">
        <v>34.049999999999997</v>
      </c>
      <c r="E15" s="11">
        <v>28.05</v>
      </c>
      <c r="F15" s="11">
        <v>65.510000000000005</v>
      </c>
      <c r="H15" s="12" t="s">
        <v>11</v>
      </c>
      <c r="I15" s="12" t="s">
        <v>62</v>
      </c>
      <c r="J15" s="44">
        <f>D10</f>
        <v>32.39</v>
      </c>
      <c r="K15" s="68" t="s">
        <v>104</v>
      </c>
      <c r="L15" s="91"/>
      <c r="M15" s="18"/>
      <c r="N15" s="12" t="s">
        <v>42</v>
      </c>
      <c r="O15" s="44">
        <f t="shared" si="1"/>
        <v>27.46</v>
      </c>
      <c r="P15" s="68" t="s">
        <v>59</v>
      </c>
      <c r="Q15" s="16">
        <f>E15</f>
        <v>28.05</v>
      </c>
      <c r="R15" s="18"/>
      <c r="S15" s="12" t="s">
        <v>57</v>
      </c>
      <c r="T15" s="13">
        <f>F14</f>
        <v>61.85</v>
      </c>
      <c r="U15" s="68" t="s">
        <v>103</v>
      </c>
      <c r="V15" s="16">
        <f>F19</f>
        <v>71.989999999999995</v>
      </c>
      <c r="W15" s="12"/>
    </row>
    <row r="16" spans="1:23" ht="15.75" customHeight="1" x14ac:dyDescent="0.2">
      <c r="A16" s="2" t="s">
        <v>58</v>
      </c>
      <c r="B16" s="11"/>
      <c r="C16" s="11"/>
      <c r="D16" s="11"/>
      <c r="E16" s="11">
        <v>29.45</v>
      </c>
      <c r="F16" s="11">
        <v>67.95</v>
      </c>
      <c r="H16" s="12" t="s">
        <v>12</v>
      </c>
      <c r="I16" s="21" t="s">
        <v>42</v>
      </c>
      <c r="J16" s="23">
        <f>E12</f>
        <v>27.46</v>
      </c>
      <c r="K16" s="70" t="s">
        <v>42</v>
      </c>
      <c r="L16" s="89">
        <f>E12</f>
        <v>27.46</v>
      </c>
      <c r="M16" s="18"/>
      <c r="N16" s="21" t="s">
        <v>56</v>
      </c>
      <c r="O16" s="23">
        <f t="shared" si="1"/>
        <v>27.88</v>
      </c>
      <c r="P16" s="70" t="s">
        <v>105</v>
      </c>
      <c r="Q16" s="89">
        <f>E11</f>
        <v>27.09</v>
      </c>
      <c r="R16" s="18"/>
      <c r="S16" s="21" t="s">
        <v>56</v>
      </c>
      <c r="T16" s="22">
        <f>F13</f>
        <v>62.92</v>
      </c>
      <c r="U16" s="70" t="s">
        <v>59</v>
      </c>
      <c r="V16" s="16">
        <f>F15</f>
        <v>65.510000000000005</v>
      </c>
      <c r="W16" s="12"/>
    </row>
    <row r="17" spans="1:23" ht="15.75" customHeight="1" x14ac:dyDescent="0.2">
      <c r="A17" s="2" t="s">
        <v>44</v>
      </c>
      <c r="B17" s="11"/>
      <c r="C17" s="11"/>
      <c r="D17" s="11"/>
      <c r="E17" s="11">
        <v>29.82</v>
      </c>
      <c r="F17" s="11"/>
      <c r="H17" s="12"/>
      <c r="I17" s="12" t="s">
        <v>30</v>
      </c>
      <c r="J17" s="13">
        <f>SUM(J13:J16)</f>
        <v>124.66999999999999</v>
      </c>
      <c r="K17" s="20" t="s">
        <v>30</v>
      </c>
      <c r="L17" s="16">
        <f>SUM(L13:L16)</f>
        <v>27.46</v>
      </c>
      <c r="M17" s="18"/>
      <c r="N17" s="12" t="s">
        <v>30</v>
      </c>
      <c r="O17" s="13">
        <f>SUM(O13:O16)</f>
        <v>109.07999999999998</v>
      </c>
      <c r="P17" s="20" t="s">
        <v>30</v>
      </c>
      <c r="Q17" s="16">
        <f>SUM(Q13:Q16)</f>
        <v>112.51</v>
      </c>
      <c r="R17" s="18"/>
      <c r="S17" s="12" t="s">
        <v>30</v>
      </c>
      <c r="T17" s="13">
        <f>SUM(T13:T16)</f>
        <v>243.52999999999997</v>
      </c>
      <c r="U17" s="12" t="s">
        <v>30</v>
      </c>
      <c r="V17" s="13">
        <f>SUM(V13:V16)</f>
        <v>278.64</v>
      </c>
      <c r="W17" s="12"/>
    </row>
    <row r="18" spans="1:23" ht="15.75" customHeight="1" x14ac:dyDescent="0.2">
      <c r="A18" s="2" t="s">
        <v>104</v>
      </c>
      <c r="B18" s="11"/>
      <c r="C18" s="11"/>
      <c r="D18" s="11"/>
      <c r="E18" s="11"/>
      <c r="F18" s="11">
        <v>73.19</v>
      </c>
      <c r="H18" s="12"/>
      <c r="I18" s="12" t="s">
        <v>47</v>
      </c>
      <c r="J18" s="13">
        <f>J17-120</f>
        <v>4.6699999999999875</v>
      </c>
      <c r="K18" s="20" t="s">
        <v>47</v>
      </c>
      <c r="L18" s="16">
        <f>L17-120</f>
        <v>-92.539999999999992</v>
      </c>
      <c r="M18" s="18"/>
      <c r="N18" s="12" t="s">
        <v>31</v>
      </c>
      <c r="O18" s="13">
        <f>O17-60</f>
        <v>49.079999999999984</v>
      </c>
      <c r="P18" s="20" t="s">
        <v>31</v>
      </c>
      <c r="Q18" s="16">
        <f>Q17-60</f>
        <v>52.510000000000005</v>
      </c>
      <c r="R18" s="18"/>
      <c r="S18" s="12" t="s">
        <v>45</v>
      </c>
      <c r="T18" s="16">
        <f>T17-240</f>
        <v>3.5299999999999727</v>
      </c>
      <c r="U18" s="12" t="s">
        <v>45</v>
      </c>
      <c r="V18" s="16">
        <f>V17-240</f>
        <v>38.639999999999986</v>
      </c>
      <c r="W18" s="12"/>
    </row>
    <row r="19" spans="1:23" ht="15.75" customHeight="1" x14ac:dyDescent="0.2">
      <c r="A19" s="2" t="s">
        <v>103</v>
      </c>
      <c r="B19" s="11"/>
      <c r="C19" s="11"/>
      <c r="D19" s="11"/>
      <c r="E19" s="11"/>
      <c r="F19" s="11">
        <v>71.989999999999995</v>
      </c>
      <c r="H19" s="12"/>
      <c r="I19" s="12"/>
      <c r="J19" s="15"/>
      <c r="K19" s="12"/>
      <c r="L19" s="13"/>
      <c r="M19" s="12"/>
      <c r="N19" s="14"/>
      <c r="O19" s="17"/>
      <c r="P19" s="12"/>
      <c r="Q19" s="12"/>
      <c r="R19" s="12"/>
      <c r="S19" s="12"/>
      <c r="T19" s="12"/>
      <c r="U19" s="12"/>
      <c r="V19" s="12"/>
      <c r="W19" s="12"/>
    </row>
    <row r="20" spans="1:23" ht="15.75" customHeight="1" x14ac:dyDescent="0.2">
      <c r="A20" s="2"/>
      <c r="B20" s="11"/>
      <c r="C20" s="11"/>
      <c r="D20" s="11"/>
      <c r="E20" s="11"/>
      <c r="F20" s="11"/>
      <c r="H20" s="12"/>
      <c r="I20" s="12"/>
      <c r="K20" s="12"/>
      <c r="L20" s="13"/>
      <c r="M20" s="12"/>
      <c r="N20" s="14"/>
      <c r="O20" s="16"/>
      <c r="P20" s="12"/>
      <c r="Q20" s="12"/>
      <c r="R20" s="12"/>
      <c r="S20" s="12"/>
      <c r="T20" s="12"/>
      <c r="U20" s="12"/>
      <c r="V20" s="12"/>
      <c r="W20" s="12"/>
    </row>
    <row r="21" spans="1:23" ht="15.75" customHeight="1" x14ac:dyDescent="0.2">
      <c r="A21" s="52" t="s">
        <v>77</v>
      </c>
      <c r="B21" s="11"/>
      <c r="C21" s="11"/>
      <c r="D21" s="11"/>
      <c r="E21" s="11"/>
      <c r="F21" s="11"/>
      <c r="K21" s="12"/>
      <c r="L21" s="13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5.75" customHeight="1" x14ac:dyDescent="0.2">
      <c r="A22" s="6"/>
      <c r="B22" s="8" t="s">
        <v>5</v>
      </c>
      <c r="C22" s="8" t="s">
        <v>6</v>
      </c>
      <c r="D22" s="8" t="s">
        <v>7</v>
      </c>
      <c r="E22" s="8" t="s">
        <v>0</v>
      </c>
      <c r="F22" s="8" t="s">
        <v>1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5.75" customHeight="1" x14ac:dyDescent="0.2">
      <c r="A23" s="1" t="s">
        <v>4</v>
      </c>
      <c r="B23" s="11">
        <v>0</v>
      </c>
      <c r="C23" s="7"/>
      <c r="D23" s="7">
        <v>0</v>
      </c>
      <c r="E23" s="7">
        <v>0</v>
      </c>
      <c r="F23" s="7">
        <v>0</v>
      </c>
      <c r="H23" s="14" t="s">
        <v>19</v>
      </c>
      <c r="I23" s="12"/>
      <c r="J23" s="12"/>
      <c r="K23" s="92" t="s">
        <v>100</v>
      </c>
      <c r="L23" s="16"/>
      <c r="M23" s="18"/>
      <c r="N23" s="14" t="s">
        <v>22</v>
      </c>
      <c r="O23" s="14"/>
      <c r="P23" s="92" t="s">
        <v>100</v>
      </c>
      <c r="Q23" s="14"/>
      <c r="R23" s="18"/>
      <c r="S23" s="14" t="s">
        <v>17</v>
      </c>
      <c r="T23" s="14"/>
      <c r="U23" s="92" t="s">
        <v>100</v>
      </c>
      <c r="V23" s="14"/>
      <c r="W23" s="12"/>
    </row>
    <row r="24" spans="1:23" ht="15.75" customHeight="1" x14ac:dyDescent="0.2">
      <c r="A24" s="2" t="s">
        <v>63</v>
      </c>
      <c r="B24" s="11">
        <v>31.19</v>
      </c>
      <c r="C24" s="11">
        <v>28.78</v>
      </c>
      <c r="D24" s="10"/>
      <c r="E24" s="10">
        <v>22.33</v>
      </c>
      <c r="F24" s="10">
        <v>50.14</v>
      </c>
      <c r="H24" s="12" t="s">
        <v>9</v>
      </c>
      <c r="I24" s="12" t="s">
        <v>64</v>
      </c>
      <c r="J24" s="13">
        <f>B25</f>
        <v>25.18</v>
      </c>
      <c r="K24" s="68" t="s">
        <v>64</v>
      </c>
      <c r="L24" s="16">
        <f>B25</f>
        <v>25.18</v>
      </c>
      <c r="M24" s="18"/>
      <c r="N24" s="2" t="s">
        <v>63</v>
      </c>
      <c r="O24" s="44">
        <f>E24</f>
        <v>22.33</v>
      </c>
      <c r="P24" s="68" t="s">
        <v>73</v>
      </c>
      <c r="Q24" s="16">
        <f>E35</f>
        <v>25.49</v>
      </c>
      <c r="R24" s="18"/>
      <c r="S24" s="12" t="s">
        <v>64</v>
      </c>
      <c r="T24" s="13">
        <f>F25</f>
        <v>49.38</v>
      </c>
      <c r="U24" s="68" t="s">
        <v>69</v>
      </c>
      <c r="V24" s="16">
        <f>F30</f>
        <v>53.49</v>
      </c>
      <c r="W24" s="12"/>
    </row>
    <row r="25" spans="1:23" ht="15.75" customHeight="1" x14ac:dyDescent="0.2">
      <c r="A25" s="2" t="s">
        <v>64</v>
      </c>
      <c r="B25" s="11">
        <v>25.18</v>
      </c>
      <c r="C25" s="11">
        <v>27.02</v>
      </c>
      <c r="D25" s="10">
        <v>24.05</v>
      </c>
      <c r="E25" s="10">
        <v>22.98</v>
      </c>
      <c r="F25" s="10">
        <v>49.38</v>
      </c>
      <c r="H25" s="12" t="s">
        <v>10</v>
      </c>
      <c r="I25" s="12" t="s">
        <v>63</v>
      </c>
      <c r="J25" s="13">
        <f>C24</f>
        <v>28.78</v>
      </c>
      <c r="K25" s="68" t="s">
        <v>63</v>
      </c>
      <c r="L25" s="16">
        <f>C24</f>
        <v>28.78</v>
      </c>
      <c r="M25" s="18"/>
      <c r="N25" s="2" t="s">
        <v>64</v>
      </c>
      <c r="O25" s="44">
        <f t="shared" ref="O25:O27" si="2">E25</f>
        <v>22.98</v>
      </c>
      <c r="P25" s="68" t="s">
        <v>67</v>
      </c>
      <c r="Q25" s="16">
        <f>E28</f>
        <v>24.12</v>
      </c>
      <c r="R25" s="18"/>
      <c r="S25" s="12" t="s">
        <v>63</v>
      </c>
      <c r="T25" s="13">
        <f>F24</f>
        <v>50.14</v>
      </c>
      <c r="U25" s="68" t="s">
        <v>73</v>
      </c>
      <c r="V25" s="16">
        <f>F35</f>
        <v>56.62</v>
      </c>
      <c r="W25" s="12"/>
    </row>
    <row r="26" spans="1:23" ht="15.75" customHeight="1" x14ac:dyDescent="0.2">
      <c r="A26" s="2" t="s">
        <v>65</v>
      </c>
      <c r="B26" s="11">
        <v>28.95</v>
      </c>
      <c r="C26" s="11">
        <v>29.14</v>
      </c>
      <c r="D26" s="10">
        <v>25.46</v>
      </c>
      <c r="E26" s="10">
        <v>23.8</v>
      </c>
      <c r="F26" s="10">
        <v>55.76</v>
      </c>
      <c r="H26" s="12" t="s">
        <v>11</v>
      </c>
      <c r="I26" s="12" t="s">
        <v>65</v>
      </c>
      <c r="J26" s="13">
        <f>D26</f>
        <v>25.46</v>
      </c>
      <c r="K26" s="68" t="s">
        <v>65</v>
      </c>
      <c r="L26" s="16">
        <f>D26</f>
        <v>25.46</v>
      </c>
      <c r="M26" s="18"/>
      <c r="N26" s="2" t="s">
        <v>65</v>
      </c>
      <c r="O26" s="44">
        <f t="shared" si="2"/>
        <v>23.8</v>
      </c>
      <c r="P26" s="68" t="s">
        <v>72</v>
      </c>
      <c r="Q26" s="16">
        <f>E32</f>
        <v>25.14</v>
      </c>
      <c r="R26" s="18"/>
      <c r="S26" s="12" t="s">
        <v>69</v>
      </c>
      <c r="T26" s="13">
        <f>F30</f>
        <v>53.49</v>
      </c>
      <c r="U26" s="68" t="s">
        <v>64</v>
      </c>
      <c r="V26" s="16">
        <f>F25</f>
        <v>49.38</v>
      </c>
      <c r="W26" s="12"/>
    </row>
    <row r="27" spans="1:23" ht="15.75" customHeight="1" x14ac:dyDescent="0.2">
      <c r="A27" s="2" t="s">
        <v>66</v>
      </c>
      <c r="B27" s="11"/>
      <c r="C27" s="11">
        <v>32.17</v>
      </c>
      <c r="D27" s="10"/>
      <c r="E27" s="10">
        <v>23.92</v>
      </c>
      <c r="F27" s="10">
        <v>55.93</v>
      </c>
      <c r="H27" s="12" t="s">
        <v>12</v>
      </c>
      <c r="I27" s="88" t="s">
        <v>66</v>
      </c>
      <c r="J27" s="22">
        <f>E27</f>
        <v>23.92</v>
      </c>
      <c r="K27" s="70" t="s">
        <v>69</v>
      </c>
      <c r="L27" s="89">
        <f>E30</f>
        <v>24.38</v>
      </c>
      <c r="M27" s="18"/>
      <c r="N27" s="30" t="s">
        <v>66</v>
      </c>
      <c r="O27" s="23">
        <f t="shared" si="2"/>
        <v>23.92</v>
      </c>
      <c r="P27" s="70" t="s">
        <v>65</v>
      </c>
      <c r="Q27" s="89">
        <f>E26</f>
        <v>23.8</v>
      </c>
      <c r="R27" s="18"/>
      <c r="S27" s="21" t="s">
        <v>72</v>
      </c>
      <c r="T27" s="22">
        <f>F32</f>
        <v>54.84</v>
      </c>
      <c r="U27" s="70" t="s">
        <v>63</v>
      </c>
      <c r="V27" s="89">
        <f>F24</f>
        <v>50.14</v>
      </c>
      <c r="W27" s="12"/>
    </row>
    <row r="28" spans="1:23" ht="15.75" customHeight="1" x14ac:dyDescent="0.2">
      <c r="A28" s="2" t="s">
        <v>67</v>
      </c>
      <c r="B28" s="11">
        <v>30.13</v>
      </c>
      <c r="C28" s="11"/>
      <c r="D28" s="10"/>
      <c r="E28" s="10">
        <v>24.12</v>
      </c>
      <c r="F28" s="10">
        <v>56.17</v>
      </c>
      <c r="H28" s="12"/>
      <c r="I28" s="12" t="s">
        <v>30</v>
      </c>
      <c r="J28" s="13">
        <f>SUM(J24:J27)</f>
        <v>103.34</v>
      </c>
      <c r="K28" s="20" t="s">
        <v>30</v>
      </c>
      <c r="L28" s="16">
        <f>SUM(L24:L27)</f>
        <v>103.8</v>
      </c>
      <c r="M28" s="18"/>
      <c r="N28" s="12" t="s">
        <v>30</v>
      </c>
      <c r="O28" s="13">
        <f>SUM(O24:O27)</f>
        <v>93.03</v>
      </c>
      <c r="P28" s="20" t="s">
        <v>30</v>
      </c>
      <c r="Q28" s="16">
        <f>SUM(Q24:Q27)</f>
        <v>98.55</v>
      </c>
      <c r="R28" s="18"/>
      <c r="S28" s="12" t="s">
        <v>30</v>
      </c>
      <c r="T28" s="13">
        <f>SUM(T24:T27)</f>
        <v>207.85000000000002</v>
      </c>
      <c r="U28" s="20" t="s">
        <v>30</v>
      </c>
      <c r="V28" s="16">
        <f>SUM(V24:V27)</f>
        <v>209.63</v>
      </c>
      <c r="W28" s="12"/>
    </row>
    <row r="29" spans="1:23" ht="15.75" customHeight="1" x14ac:dyDescent="0.2">
      <c r="A29" s="2" t="s">
        <v>68</v>
      </c>
      <c r="B29" s="11"/>
      <c r="C29" s="11"/>
      <c r="D29" s="10"/>
      <c r="E29" s="10">
        <v>24.15</v>
      </c>
      <c r="F29" s="10">
        <v>55.19</v>
      </c>
      <c r="H29" s="12"/>
      <c r="I29" s="12" t="s">
        <v>31</v>
      </c>
      <c r="J29" s="13">
        <f>J28-60</f>
        <v>43.34</v>
      </c>
      <c r="K29" s="20" t="s">
        <v>31</v>
      </c>
      <c r="L29" s="16">
        <f>L28-60</f>
        <v>43.8</v>
      </c>
      <c r="M29" s="18"/>
      <c r="N29" s="12" t="s">
        <v>31</v>
      </c>
      <c r="O29" s="13">
        <f>O28-60</f>
        <v>33.03</v>
      </c>
      <c r="P29" s="20" t="s">
        <v>31</v>
      </c>
      <c r="Q29" s="16">
        <f>Q28-60</f>
        <v>38.549999999999997</v>
      </c>
      <c r="R29" s="18"/>
      <c r="S29" s="12" t="s">
        <v>29</v>
      </c>
      <c r="T29" s="16">
        <f>T28-180</f>
        <v>27.850000000000023</v>
      </c>
      <c r="U29" s="20" t="s">
        <v>29</v>
      </c>
      <c r="V29" s="16">
        <f>V28-180</f>
        <v>29.629999999999995</v>
      </c>
      <c r="W29" s="12"/>
    </row>
    <row r="30" spans="1:23" ht="15.75" customHeight="1" x14ac:dyDescent="0.2">
      <c r="A30" s="2" t="s">
        <v>69</v>
      </c>
      <c r="B30" s="11">
        <v>30.41</v>
      </c>
      <c r="C30" s="11">
        <v>31.71</v>
      </c>
      <c r="D30" s="10">
        <v>28.31</v>
      </c>
      <c r="E30" s="10">
        <v>24.38</v>
      </c>
      <c r="F30" s="10">
        <v>53.49</v>
      </c>
      <c r="H30" s="14" t="s">
        <v>18</v>
      </c>
      <c r="I30" s="12"/>
      <c r="J30" s="12"/>
      <c r="K30" s="20"/>
      <c r="L30" s="16"/>
      <c r="M30" s="18"/>
      <c r="N30" s="14" t="s">
        <v>24</v>
      </c>
      <c r="O30" s="12"/>
      <c r="P30" s="20"/>
      <c r="Q30" s="14"/>
      <c r="R30" s="18"/>
      <c r="S30" s="14" t="s">
        <v>25</v>
      </c>
      <c r="T30" s="12"/>
      <c r="U30" s="20"/>
      <c r="V30" s="16"/>
      <c r="W30" s="12"/>
    </row>
    <row r="31" spans="1:23" ht="15.75" customHeight="1" x14ac:dyDescent="0.2">
      <c r="A31" s="2" t="s">
        <v>75</v>
      </c>
      <c r="B31" s="11"/>
      <c r="C31" s="11"/>
      <c r="D31" s="10">
        <v>27.5</v>
      </c>
      <c r="E31" s="10">
        <v>24.92</v>
      </c>
      <c r="F31" s="10"/>
      <c r="H31" s="12"/>
      <c r="I31" s="12" t="s">
        <v>67</v>
      </c>
      <c r="J31" s="13">
        <f>B28</f>
        <v>30.13</v>
      </c>
      <c r="K31" s="68" t="s">
        <v>76</v>
      </c>
      <c r="L31" s="16">
        <f>B37</f>
        <v>30.97</v>
      </c>
      <c r="M31" s="18"/>
      <c r="N31" s="2" t="s">
        <v>67</v>
      </c>
      <c r="O31" s="44">
        <f>E28</f>
        <v>24.12</v>
      </c>
      <c r="P31" s="68" t="s">
        <v>76</v>
      </c>
      <c r="Q31" s="16">
        <f>E37</f>
        <v>26.73</v>
      </c>
      <c r="R31" s="18"/>
      <c r="S31" s="12" t="s">
        <v>68</v>
      </c>
      <c r="T31" s="13">
        <f>F29</f>
        <v>55.19</v>
      </c>
      <c r="U31" s="68" t="s">
        <v>106</v>
      </c>
      <c r="V31" s="16">
        <f>F36</f>
        <v>59.23</v>
      </c>
      <c r="W31" s="12"/>
    </row>
    <row r="32" spans="1:23" ht="15.75" x14ac:dyDescent="0.2">
      <c r="A32" s="2" t="s">
        <v>72</v>
      </c>
      <c r="B32" s="11">
        <v>30.29</v>
      </c>
      <c r="C32" s="11">
        <v>32.53</v>
      </c>
      <c r="D32" s="10">
        <v>27.15</v>
      </c>
      <c r="E32" s="10">
        <v>25.14</v>
      </c>
      <c r="F32" s="10">
        <v>54.84</v>
      </c>
      <c r="H32" s="12"/>
      <c r="I32" s="12" t="s">
        <v>69</v>
      </c>
      <c r="J32" s="13">
        <f>C30</f>
        <v>31.71</v>
      </c>
      <c r="K32" s="68" t="s">
        <v>72</v>
      </c>
      <c r="L32" s="16">
        <f>C32</f>
        <v>32.53</v>
      </c>
      <c r="M32" s="18"/>
      <c r="N32" s="2" t="s">
        <v>68</v>
      </c>
      <c r="O32" s="44">
        <f t="shared" ref="O32:O34" si="3">E29</f>
        <v>24.15</v>
      </c>
      <c r="P32" s="68" t="s">
        <v>71</v>
      </c>
      <c r="Q32" s="16">
        <f>E34</f>
        <v>25.46</v>
      </c>
      <c r="R32" s="18"/>
      <c r="S32" s="12" t="s">
        <v>65</v>
      </c>
      <c r="T32" s="13">
        <f>F26</f>
        <v>55.76</v>
      </c>
      <c r="U32" s="68" t="s">
        <v>107</v>
      </c>
      <c r="V32" s="16">
        <f>F38</f>
        <v>67.680000000000007</v>
      </c>
      <c r="W32" s="12"/>
    </row>
    <row r="33" spans="1:23" ht="15.75" x14ac:dyDescent="0.2">
      <c r="A33" s="2" t="s">
        <v>70</v>
      </c>
      <c r="B33" s="11"/>
      <c r="C33" s="11"/>
      <c r="D33" s="10"/>
      <c r="E33" s="10">
        <v>25.37</v>
      </c>
      <c r="F33" s="10"/>
      <c r="H33" s="12"/>
      <c r="I33" s="12" t="s">
        <v>72</v>
      </c>
      <c r="J33" s="13">
        <f>D32</f>
        <v>27.15</v>
      </c>
      <c r="K33" s="68" t="s">
        <v>74</v>
      </c>
      <c r="L33" s="16">
        <f>D36</f>
        <v>28.53</v>
      </c>
      <c r="M33" s="18"/>
      <c r="N33" s="2" t="s">
        <v>69</v>
      </c>
      <c r="O33" s="44">
        <f t="shared" si="3"/>
        <v>24.38</v>
      </c>
      <c r="P33" s="68" t="s">
        <v>101</v>
      </c>
      <c r="Q33" s="16">
        <v>27.87</v>
      </c>
      <c r="R33" s="18"/>
      <c r="S33" s="12" t="s">
        <v>66</v>
      </c>
      <c r="T33" s="13">
        <f>F27</f>
        <v>55.93</v>
      </c>
      <c r="U33" s="68" t="s">
        <v>76</v>
      </c>
      <c r="V33" s="16">
        <f>F37</f>
        <v>58.65</v>
      </c>
      <c r="W33" s="12"/>
    </row>
    <row r="34" spans="1:23" ht="15.75" x14ac:dyDescent="0.2">
      <c r="A34" s="2" t="s">
        <v>71</v>
      </c>
      <c r="B34" s="11"/>
      <c r="C34" s="11"/>
      <c r="D34" s="10"/>
      <c r="E34" s="10">
        <v>25.46</v>
      </c>
      <c r="F34" s="10">
        <v>59.37</v>
      </c>
      <c r="H34" s="12"/>
      <c r="I34" s="21" t="s">
        <v>66</v>
      </c>
      <c r="J34" s="22">
        <f>E27</f>
        <v>23.92</v>
      </c>
      <c r="K34" s="70" t="s">
        <v>67</v>
      </c>
      <c r="L34" s="89">
        <f>E28</f>
        <v>24.12</v>
      </c>
      <c r="M34" s="18"/>
      <c r="N34" s="30" t="s">
        <v>75</v>
      </c>
      <c r="O34" s="23">
        <f t="shared" si="3"/>
        <v>24.92</v>
      </c>
      <c r="P34" s="70" t="s">
        <v>74</v>
      </c>
      <c r="Q34" s="89">
        <v>26.23</v>
      </c>
      <c r="R34" s="18"/>
      <c r="S34" s="21" t="s">
        <v>67</v>
      </c>
      <c r="T34" s="22">
        <f>F28</f>
        <v>56.17</v>
      </c>
      <c r="U34" s="70" t="s">
        <v>108</v>
      </c>
      <c r="V34" s="89">
        <f>F34</f>
        <v>59.37</v>
      </c>
      <c r="W34" s="12"/>
    </row>
    <row r="35" spans="1:23" ht="15.75" x14ac:dyDescent="0.2">
      <c r="A35" s="2" t="s">
        <v>73</v>
      </c>
      <c r="B35" s="11"/>
      <c r="C35" s="11"/>
      <c r="D35" s="10"/>
      <c r="E35" s="10">
        <v>25.49</v>
      </c>
      <c r="F35" s="10">
        <v>56.62</v>
      </c>
      <c r="H35" s="12"/>
      <c r="I35" s="12" t="s">
        <v>30</v>
      </c>
      <c r="J35" s="13">
        <f>SUM(J31:J34)</f>
        <v>112.91000000000001</v>
      </c>
      <c r="K35" s="20" t="s">
        <v>30</v>
      </c>
      <c r="L35" s="16">
        <f>SUM(L31:L34)</f>
        <v>116.15</v>
      </c>
      <c r="M35" s="18"/>
      <c r="N35" s="12" t="s">
        <v>30</v>
      </c>
      <c r="O35" s="13">
        <f>SUM(O31:O34)</f>
        <v>97.57</v>
      </c>
      <c r="P35" s="20" t="s">
        <v>30</v>
      </c>
      <c r="Q35" s="16">
        <f>SUM(Q31:Q34)</f>
        <v>106.29</v>
      </c>
      <c r="R35" s="18"/>
      <c r="S35" s="12" t="s">
        <v>30</v>
      </c>
      <c r="T35" s="13">
        <f>SUM(T31:T34)</f>
        <v>223.05</v>
      </c>
      <c r="U35" s="14" t="s">
        <v>30</v>
      </c>
      <c r="V35" s="16">
        <f>SUM(V31:V34)</f>
        <v>244.93</v>
      </c>
      <c r="W35" s="12"/>
    </row>
    <row r="36" spans="1:23" ht="15.75" x14ac:dyDescent="0.2">
      <c r="A36" s="2" t="s">
        <v>74</v>
      </c>
      <c r="B36" s="11"/>
      <c r="C36" s="11"/>
      <c r="D36" s="10">
        <v>28.53</v>
      </c>
      <c r="E36" s="10">
        <v>25.56</v>
      </c>
      <c r="F36" s="10">
        <v>59.23</v>
      </c>
      <c r="H36" s="12"/>
      <c r="I36" s="12" t="s">
        <v>31</v>
      </c>
      <c r="J36" s="13">
        <f>J35-60</f>
        <v>52.910000000000011</v>
      </c>
      <c r="K36" s="20" t="s">
        <v>31</v>
      </c>
      <c r="L36" s="16">
        <f>L35-60</f>
        <v>56.150000000000006</v>
      </c>
      <c r="M36" s="18"/>
      <c r="N36" s="12" t="s">
        <v>31</v>
      </c>
      <c r="O36" s="13">
        <f>O35-60</f>
        <v>37.569999999999993</v>
      </c>
      <c r="P36" s="20" t="s">
        <v>31</v>
      </c>
      <c r="Q36" s="16">
        <f>Q35-60</f>
        <v>46.290000000000006</v>
      </c>
      <c r="R36" s="18"/>
      <c r="S36" s="12" t="s">
        <v>29</v>
      </c>
      <c r="T36" s="16">
        <f>T35-180</f>
        <v>43.050000000000011</v>
      </c>
      <c r="U36" s="14" t="s">
        <v>45</v>
      </c>
      <c r="V36" s="16">
        <f>V35-240</f>
        <v>4.9300000000000068</v>
      </c>
      <c r="W36" s="12"/>
    </row>
    <row r="37" spans="1:23" ht="15.75" x14ac:dyDescent="0.2">
      <c r="A37" s="2" t="s">
        <v>76</v>
      </c>
      <c r="B37" s="11">
        <v>30.97</v>
      </c>
      <c r="C37" s="11"/>
      <c r="D37" s="10"/>
      <c r="E37" s="10">
        <v>26.73</v>
      </c>
      <c r="F37" s="10">
        <v>58.65</v>
      </c>
      <c r="H37" s="12"/>
      <c r="I37" s="12"/>
      <c r="J37" s="12"/>
      <c r="K37" s="12"/>
      <c r="L37" s="13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5.75" x14ac:dyDescent="0.2">
      <c r="A38" s="2" t="s">
        <v>107</v>
      </c>
      <c r="B38" s="11"/>
      <c r="C38" s="11"/>
      <c r="D38" s="10"/>
      <c r="E38" s="10"/>
      <c r="F38" s="10">
        <v>67.680000000000007</v>
      </c>
      <c r="K38" s="12"/>
      <c r="L38" s="13"/>
    </row>
  </sheetData>
  <autoFilter ref="A4:F4" xr:uid="{C58814CE-708D-4CDB-93DD-2EA18668DC56}"/>
  <conditionalFormatting sqref="B5:F21 J19 B23:F23 B23:B31 C24:F31">
    <cfRule type="cellIs" dxfId="5" priority="13" operator="equal">
      <formula>0</formula>
    </cfRule>
  </conditionalFormatting>
  <conditionalFormatting sqref="B32:F38">
    <cfRule type="cellIs" dxfId="4" priority="1" operator="equal">
      <formula>0</formula>
    </cfRule>
  </conditionalFormatting>
  <conditionalFormatting sqref="J6:J9 L10">
    <cfRule type="cellIs" dxfId="3" priority="14" operator="equal">
      <formula>0</formula>
    </cfRule>
  </conditionalFormatting>
  <conditionalFormatting sqref="O19">
    <cfRule type="cellIs" dxfId="2" priority="10" operator="equal">
      <formula>0</formula>
    </cfRule>
  </conditionalFormatting>
  <conditionalFormatting sqref="O24:O27">
    <cfRule type="cellIs" dxfId="1" priority="6" operator="equal">
      <formula>0</formula>
    </cfRule>
  </conditionalFormatting>
  <conditionalFormatting sqref="O31:O34">
    <cfRule type="cellIs" dxfId="0" priority="5" operator="equal">
      <formula>0</formula>
    </cfRule>
  </conditionalFormatting>
  <pageMargins left="0.2" right="0.2" top="0.75" bottom="0.75" header="0.3" footer="0.3"/>
  <pageSetup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Seton-National Catholics</vt:lpstr>
      <vt:lpstr>Seton-NoVa Catholics</vt:lpstr>
      <vt:lpstr>Seton-VCAC Reg Season</vt:lpstr>
      <vt:lpstr>TCS!-ICHS-VCAC Reg Season</vt:lpstr>
      <vt:lpstr>'Seton-National Catholics'!Print_Area</vt:lpstr>
      <vt:lpstr>'Seton-NoVa Catholics'!Print_Area</vt:lpstr>
      <vt:lpstr>'Seton-VCAC Reg Season'!Print_Area</vt:lpstr>
      <vt:lpstr>'TCS!-ICHS-VCAC Reg Season'!Print_Area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Top Times Spreadsheet - Custome Age Groups</dc:title>
  <dc:creator>Crystal Decisions</dc:creator>
  <dc:description>Powered by Crystal</dc:description>
  <cp:lastModifiedBy>Jim Koehr</cp:lastModifiedBy>
  <cp:lastPrinted>2026-01-11T19:20:34Z</cp:lastPrinted>
  <dcterms:created xsi:type="dcterms:W3CDTF">2021-02-22T23:44:24Z</dcterms:created>
  <dcterms:modified xsi:type="dcterms:W3CDTF">2026-01-13T00:01:36Z</dcterms:modified>
</cp:coreProperties>
</file>