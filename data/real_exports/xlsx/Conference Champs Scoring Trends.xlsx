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Koehr\Documents\Seton School\Seton Swim Coach\Season '25-'26\"/>
    </mc:Choice>
  </mc:AlternateContent>
  <xr:revisionPtr revIDLastSave="0" documentId="8_{A473D1E4-060E-452A-AFF8-B5A4BA731812}" xr6:coauthVersionLast="47" xr6:coauthVersionMax="47" xr10:uidLastSave="{00000000-0000-0000-0000-000000000000}"/>
  <bookViews>
    <workbookView xWindow="-32505" yWindow="-765" windowWidth="28575" windowHeight="187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Sheet1!$A$1:$X$49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0" i="1" l="1"/>
  <c r="W6" i="1"/>
  <c r="S10" i="1"/>
  <c r="R10" i="1"/>
  <c r="Q10" i="1"/>
  <c r="P10" i="1"/>
  <c r="S6" i="1"/>
  <c r="R6" i="1"/>
  <c r="Q6" i="1"/>
  <c r="P6" i="1"/>
  <c r="X6" i="1"/>
  <c r="X10" i="1"/>
  <c r="U6" i="1"/>
  <c r="V6" i="1"/>
  <c r="U10" i="1"/>
  <c r="V10" i="1"/>
  <c r="O10" i="1"/>
  <c r="O6" i="1"/>
  <c r="J10" i="1"/>
  <c r="K10" i="1"/>
  <c r="L10" i="1"/>
  <c r="M10" i="1"/>
  <c r="N10" i="1"/>
  <c r="T10" i="1"/>
  <c r="J6" i="1"/>
  <c r="K6" i="1"/>
  <c r="L6" i="1"/>
  <c r="M6" i="1"/>
  <c r="N6" i="1"/>
  <c r="T6" i="1"/>
  <c r="I6" i="1"/>
  <c r="H6" i="1"/>
  <c r="G6" i="1"/>
  <c r="F6" i="1"/>
  <c r="E6" i="1"/>
  <c r="D6" i="1"/>
  <c r="C6" i="1"/>
  <c r="B6" i="1"/>
  <c r="C10" i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<sst xmlns="http://schemas.openxmlformats.org/spreadsheetml/2006/main" count="55" uniqueCount="29">
  <si>
    <t>2010</t>
  </si>
  <si>
    <t>2009</t>
  </si>
  <si>
    <t>2008</t>
  </si>
  <si>
    <t>2007</t>
  </si>
  <si>
    <t>2006</t>
  </si>
  <si>
    <t>2005</t>
  </si>
  <si>
    <t>2004</t>
  </si>
  <si>
    <t>2003</t>
  </si>
  <si>
    <t>Seton Swimming</t>
  </si>
  <si>
    <t>Girls</t>
  </si>
  <si>
    <t>Boys</t>
  </si>
  <si>
    <t>Percentage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</si>
  <si>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</si>
  <si>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</si>
  <si>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</si>
  <si>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</si>
  <si>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</si>
  <si>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</si>
  <si>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</si>
  <si>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</si>
  <si>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</si>
  <si>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</si>
  <si>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</si>
  <si>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</si>
  <si>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</si>
  <si>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</si>
  <si>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</si>
  <si>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Next Best Conf. Team</t>
  </si>
  <si>
    <t>Conference Championship Swim Meet Scoring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</si>
</sst>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Garamond"/>
      <family val="2"/>
    </font>
    <font>
      <sz val="12"/>
      <color theme="1"/>
      <name val="Garamond"/>
      <family val="2"/>
    </font>
    <font>
      <i/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6"/>
      <color theme="1"/>
      <name val="Garamond"/>
      <family val="1"/>
    </font>
    <font>
      <b/>
      <sz val="14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9" fontId="2" fillId="0" borderId="0" xfId="1" applyFont="1" applyAlignment="1">
      <alignment horizontal="center"/>
    </xf>
    <xf numFmtId="0" fontId="3" fillId="0" borderId="0" xfId="0" applyFont="1"/>
    <xf numFmtId="9" fontId="2" fillId="0" borderId="0" xfId="1" applyFont="1" applyFill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1" i="0" baseline="0">
                <a:latin typeface="Garamond" pitchFamily="18" charset="0"/>
              </a:rPr>
              <a:t>DAC Championship Meet Scores - Girls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Sheet1!$A$8</c:f>
              <c:strCache>
                <c:ptCount val="1"/>
                <c:pt idx="0">
                  <c:v>Seton Swimming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strRef>
              <c:f>Sheet1!$B$3:$X$3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Sheet1!$B$8:$X$8</c:f>
              <c:numCache>
                <c:formatCode>General</c:formatCode>
                <c:ptCount val="23"/>
                <c:pt idx="0">
                  <c:v>386</c:v>
                </c:pt>
                <c:pt idx="1">
                  <c:v>354</c:v>
                </c:pt>
                <c:pt idx="2">
                  <c:v>381</c:v>
                </c:pt>
                <c:pt idx="3">
                  <c:v>361</c:v>
                </c:pt>
                <c:pt idx="4">
                  <c:v>457.5</c:v>
                </c:pt>
                <c:pt idx="5">
                  <c:v>434.5</c:v>
                </c:pt>
                <c:pt idx="6">
                  <c:v>434</c:v>
                </c:pt>
                <c:pt idx="7">
                  <c:v>404</c:v>
                </c:pt>
                <c:pt idx="8">
                  <c:v>417</c:v>
                </c:pt>
                <c:pt idx="9">
                  <c:v>497</c:v>
                </c:pt>
                <c:pt idx="10">
                  <c:v>360.5</c:v>
                </c:pt>
                <c:pt idx="11">
                  <c:v>436</c:v>
                </c:pt>
                <c:pt idx="12">
                  <c:v>588</c:v>
                </c:pt>
                <c:pt idx="13">
                  <c:v>326</c:v>
                </c:pt>
                <c:pt idx="14">
                  <c:v>271</c:v>
                </c:pt>
                <c:pt idx="15">
                  <c:v>300</c:v>
                </c:pt>
                <c:pt idx="16">
                  <c:v>310</c:v>
                </c:pt>
                <c:pt idx="17">
                  <c:v>273</c:v>
                </c:pt>
                <c:pt idx="18">
                  <c:v>423</c:v>
                </c:pt>
                <c:pt idx="19">
                  <c:v>450</c:v>
                </c:pt>
                <c:pt idx="20">
                  <c:v>364</c:v>
                </c:pt>
                <c:pt idx="21">
                  <c:v>309</c:v>
                </c:pt>
                <c:pt idx="22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2-4CF9-AE2A-33F75C95CBB3}"/>
            </c:ext>
          </c:extLst>
        </c:ser>
        <c:ser>
          <c:idx val="2"/>
          <c:order val="1"/>
          <c:tx>
            <c:strRef>
              <c:f>Sheet1!$A$9</c:f>
              <c:strCache>
                <c:ptCount val="1"/>
                <c:pt idx="0">
                  <c:v>Next Best Conf. Team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Sheet1!$B$3:$X$3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Sheet1!$B$9:$X$9</c:f>
              <c:numCache>
                <c:formatCode>General</c:formatCode>
                <c:ptCount val="23"/>
                <c:pt idx="0">
                  <c:v>194</c:v>
                </c:pt>
                <c:pt idx="1">
                  <c:v>206</c:v>
                </c:pt>
                <c:pt idx="2">
                  <c:v>184</c:v>
                </c:pt>
                <c:pt idx="3">
                  <c:v>197</c:v>
                </c:pt>
                <c:pt idx="4">
                  <c:v>357.5</c:v>
                </c:pt>
                <c:pt idx="5">
                  <c:v>289.5</c:v>
                </c:pt>
                <c:pt idx="6">
                  <c:v>224</c:v>
                </c:pt>
                <c:pt idx="7">
                  <c:v>209</c:v>
                </c:pt>
                <c:pt idx="8">
                  <c:v>194</c:v>
                </c:pt>
                <c:pt idx="9">
                  <c:v>317</c:v>
                </c:pt>
                <c:pt idx="10">
                  <c:v>185</c:v>
                </c:pt>
                <c:pt idx="11">
                  <c:v>194</c:v>
                </c:pt>
                <c:pt idx="12">
                  <c:v>314</c:v>
                </c:pt>
                <c:pt idx="13">
                  <c:v>275</c:v>
                </c:pt>
                <c:pt idx="14">
                  <c:v>311</c:v>
                </c:pt>
                <c:pt idx="15">
                  <c:v>299.5</c:v>
                </c:pt>
                <c:pt idx="16">
                  <c:v>294</c:v>
                </c:pt>
                <c:pt idx="17">
                  <c:v>312</c:v>
                </c:pt>
                <c:pt idx="18">
                  <c:v>382</c:v>
                </c:pt>
                <c:pt idx="19">
                  <c:v>341</c:v>
                </c:pt>
                <c:pt idx="20">
                  <c:v>340</c:v>
                </c:pt>
                <c:pt idx="21">
                  <c:v>310</c:v>
                </c:pt>
                <c:pt idx="22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2-4CF9-AE2A-33F75C95C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83152"/>
        <c:axId val="1"/>
      </c:lineChart>
      <c:catAx>
        <c:axId val="20228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Points Scored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28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Garamond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DAC</a:t>
            </a:r>
            <a:r>
              <a:rPr lang="en-US" sz="1600" baseline="0"/>
              <a:t> Championship Meet Scores - Boys</a:t>
            </a:r>
            <a:endParaRPr lang="en-US" sz="16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Seton Swimming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strRef>
              <c:f>Sheet1!$B$3:$X$3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Sheet1!$B$4:$X$4</c:f>
              <c:numCache>
                <c:formatCode>General</c:formatCode>
                <c:ptCount val="23"/>
                <c:pt idx="0">
                  <c:v>278</c:v>
                </c:pt>
                <c:pt idx="1">
                  <c:v>352.5</c:v>
                </c:pt>
                <c:pt idx="2">
                  <c:v>320</c:v>
                </c:pt>
                <c:pt idx="3">
                  <c:v>369</c:v>
                </c:pt>
                <c:pt idx="4">
                  <c:v>505.5</c:v>
                </c:pt>
                <c:pt idx="5">
                  <c:v>407</c:v>
                </c:pt>
                <c:pt idx="6">
                  <c:v>429</c:v>
                </c:pt>
                <c:pt idx="7">
                  <c:v>457</c:v>
                </c:pt>
                <c:pt idx="8">
                  <c:v>415</c:v>
                </c:pt>
                <c:pt idx="9">
                  <c:v>512</c:v>
                </c:pt>
                <c:pt idx="10">
                  <c:v>322</c:v>
                </c:pt>
                <c:pt idx="11">
                  <c:v>250</c:v>
                </c:pt>
                <c:pt idx="12">
                  <c:v>348</c:v>
                </c:pt>
                <c:pt idx="13">
                  <c:v>266</c:v>
                </c:pt>
                <c:pt idx="14">
                  <c:v>260</c:v>
                </c:pt>
                <c:pt idx="15">
                  <c:v>284</c:v>
                </c:pt>
                <c:pt idx="16">
                  <c:v>287</c:v>
                </c:pt>
                <c:pt idx="17">
                  <c:v>290</c:v>
                </c:pt>
                <c:pt idx="18">
                  <c:v>525.5</c:v>
                </c:pt>
                <c:pt idx="19">
                  <c:v>408</c:v>
                </c:pt>
                <c:pt idx="20">
                  <c:v>440</c:v>
                </c:pt>
                <c:pt idx="21">
                  <c:v>414</c:v>
                </c:pt>
                <c:pt idx="22">
                  <c:v>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6-488C-A2CA-B9B34033ABCE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Next Best Conf. Team</c:v>
                </c:pt>
              </c:strCache>
            </c:strRef>
          </c:tx>
          <c:marker>
            <c:symbol val="none"/>
          </c:marker>
          <c:cat>
            <c:strRef>
              <c:f>Sheet1!$B$3:$X$3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Sheet1!$B$5:$X$5</c:f>
              <c:numCache>
                <c:formatCode>General</c:formatCode>
                <c:ptCount val="23"/>
                <c:pt idx="0">
                  <c:v>314</c:v>
                </c:pt>
                <c:pt idx="1">
                  <c:v>229.5</c:v>
                </c:pt>
                <c:pt idx="2">
                  <c:v>216</c:v>
                </c:pt>
                <c:pt idx="3">
                  <c:v>264</c:v>
                </c:pt>
                <c:pt idx="4">
                  <c:v>240</c:v>
                </c:pt>
                <c:pt idx="5">
                  <c:v>293</c:v>
                </c:pt>
                <c:pt idx="6">
                  <c:v>194</c:v>
                </c:pt>
                <c:pt idx="7">
                  <c:v>211.5</c:v>
                </c:pt>
                <c:pt idx="8">
                  <c:v>193</c:v>
                </c:pt>
                <c:pt idx="9">
                  <c:v>306</c:v>
                </c:pt>
                <c:pt idx="10">
                  <c:v>221</c:v>
                </c:pt>
                <c:pt idx="11">
                  <c:v>256</c:v>
                </c:pt>
                <c:pt idx="12">
                  <c:v>496</c:v>
                </c:pt>
                <c:pt idx="13">
                  <c:v>270</c:v>
                </c:pt>
                <c:pt idx="14">
                  <c:v>188</c:v>
                </c:pt>
                <c:pt idx="15">
                  <c:v>202</c:v>
                </c:pt>
                <c:pt idx="16">
                  <c:v>210</c:v>
                </c:pt>
                <c:pt idx="17">
                  <c:v>208</c:v>
                </c:pt>
                <c:pt idx="18">
                  <c:v>271.5</c:v>
                </c:pt>
                <c:pt idx="19">
                  <c:v>366</c:v>
                </c:pt>
                <c:pt idx="20">
                  <c:v>338</c:v>
                </c:pt>
                <c:pt idx="21">
                  <c:v>299</c:v>
                </c:pt>
                <c:pt idx="22">
                  <c:v>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6-488C-A2CA-B9B34033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6128"/>
        <c:axId val="1"/>
      </c:lineChart>
      <c:catAx>
        <c:axId val="115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Point Scored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566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Garamond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30</xdr:row>
      <xdr:rowOff>15240</xdr:rowOff>
    </xdr:from>
    <xdr:to>
      <xdr:col>23</xdr:col>
      <xdr:colOff>541866</xdr:colOff>
      <xdr:row>48</xdr:row>
      <xdr:rowOff>15240</xdr:rowOff>
    </xdr:to>
    <xdr:graphicFrame macro="">
      <xdr:nvGraphicFramePr>
        <xdr:cNvPr id="1059" name="Chart 1">
          <a:extLst>
            <a:ext uri="{FF2B5EF4-FFF2-40B4-BE49-F238E27FC236}">
              <a16:creationId xmlns:a16="http://schemas.microsoft.com/office/drawing/2014/main" id="{5749FA77-93C6-4695-86C3-9792409BE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11</xdr:row>
      <xdr:rowOff>53340</xdr:rowOff>
    </xdr:from>
    <xdr:to>
      <xdr:col>23</xdr:col>
      <xdr:colOff>533400</xdr:colOff>
      <xdr:row>29</xdr:row>
      <xdr:rowOff>76200</xdr:rowOff>
    </xdr:to>
    <xdr:graphicFrame macro="">
      <xdr:nvGraphicFramePr>
        <xdr:cNvPr id="1060" name="Chart 2">
          <a:extLst>
            <a:ext uri="{FF2B5EF4-FFF2-40B4-BE49-F238E27FC236}">
              <a16:creationId xmlns:a16="http://schemas.microsoft.com/office/drawing/2014/main" id="{7A0E9D62-2B18-4411-A715-392AAED3F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1"/>
  <sheetViews>
    <sheetView showGridLines="0" tabSelected="1" zoomScale="80" zoomScaleNormal="80" workbookViewId="0">
      <selection activeCell="I52" sqref="I52"/>
    </sheetView>
  </sheetViews>
  <sheetFormatPr defaultRowHeight="15.75" x14ac:dyDescent="0.25"/>
  <cols>
    <col min="1" max="1" width="20.75" customWidth="1"/>
    <col min="9" max="9" width="9.375" customWidth="1"/>
  </cols>
  <sheetData>
    <row r="1" spans="1:24" ht="21" x14ac:dyDescent="0.35">
      <c r="A1" s="8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T1" s="5"/>
    </row>
    <row r="3" spans="1:24" ht="18.75" x14ac:dyDescent="0.3">
      <c r="A3" s="9" t="s">
        <v>10</v>
      </c>
      <c r="B3" s="7" t="s">
        <v>7</v>
      </c>
      <c r="C3" s="7" t="s">
        <v>6</v>
      </c>
      <c r="D3" s="7" t="s">
        <v>5</v>
      </c>
      <c r="E3" s="7" t="s">
        <v>4</v>
      </c>
      <c r="F3" s="7" t="s">
        <v>3</v>
      </c>
      <c r="G3" s="7" t="s">
        <v>2</v>
      </c>
      <c r="H3" s="7" t="s">
        <v>1</v>
      </c>
      <c r="I3" s="7" t="s">
        <v>0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</row>
    <row r="4" spans="1:24" x14ac:dyDescent="0.25">
      <c r="A4" s="1" t="s">
        <v>8</v>
      </c>
      <c r="B4" s="2">
        <v>278</v>
      </c>
      <c r="C4" s="2">
        <v>352.5</v>
      </c>
      <c r="D4" s="2">
        <v>320</v>
      </c>
      <c r="E4" s="2">
        <v>369</v>
      </c>
      <c r="F4" s="2">
        <v>505.5</v>
      </c>
      <c r="G4" s="2">
        <v>407</v>
      </c>
      <c r="H4" s="2">
        <v>429</v>
      </c>
      <c r="I4" s="2">
        <v>457</v>
      </c>
      <c r="J4" s="2">
        <v>415</v>
      </c>
      <c r="K4" s="2">
        <v>512</v>
      </c>
      <c r="L4" s="2">
        <v>322</v>
      </c>
      <c r="M4" s="2">
        <v>250</v>
      </c>
      <c r="N4" s="2">
        <v>348</v>
      </c>
      <c r="O4" s="2">
        <v>266</v>
      </c>
      <c r="P4" s="2">
        <v>260</v>
      </c>
      <c r="Q4" s="2">
        <v>284</v>
      </c>
      <c r="R4" s="2">
        <v>287</v>
      </c>
      <c r="S4" s="2">
        <v>290</v>
      </c>
      <c r="T4" s="2">
        <v>525.5</v>
      </c>
      <c r="U4" s="2">
        <v>408</v>
      </c>
      <c r="V4" s="2">
        <v>440</v>
      </c>
      <c r="W4" s="2">
        <v>414</v>
      </c>
      <c r="X4" s="2">
        <v>461</v>
      </c>
    </row>
    <row r="5" spans="1:24" x14ac:dyDescent="0.25">
      <c r="A5" s="1" t="s">
        <v>27</v>
      </c>
      <c r="B5" s="2">
        <v>314</v>
      </c>
      <c r="C5" s="2">
        <v>229.5</v>
      </c>
      <c r="D5" s="2">
        <v>216</v>
      </c>
      <c r="E5" s="2">
        <v>264</v>
      </c>
      <c r="F5" s="2">
        <v>240</v>
      </c>
      <c r="G5" s="2">
        <v>293</v>
      </c>
      <c r="H5" s="2">
        <v>194</v>
      </c>
      <c r="I5" s="2">
        <v>211.5</v>
      </c>
      <c r="J5" s="2">
        <v>193</v>
      </c>
      <c r="K5" s="2">
        <v>306</v>
      </c>
      <c r="L5" s="2">
        <v>221</v>
      </c>
      <c r="M5" s="2">
        <v>256</v>
      </c>
      <c r="N5" s="2">
        <v>496</v>
      </c>
      <c r="O5" s="2">
        <v>270</v>
      </c>
      <c r="P5" s="2">
        <v>188</v>
      </c>
      <c r="Q5" s="2">
        <v>202</v>
      </c>
      <c r="R5" s="2">
        <v>210</v>
      </c>
      <c r="S5" s="2">
        <v>208</v>
      </c>
      <c r="T5" s="2">
        <v>271.5</v>
      </c>
      <c r="U5" s="2">
        <v>366</v>
      </c>
      <c r="V5" s="2">
        <v>338</v>
      </c>
      <c r="W5" s="2">
        <v>299</v>
      </c>
      <c r="X5" s="2">
        <v>314</v>
      </c>
    </row>
    <row r="6" spans="1:24" x14ac:dyDescent="0.25">
      <c r="A6" s="3" t="s">
        <v>11</v>
      </c>
      <c r="B6" s="6">
        <f t="shared" ref="B6:T6" si="0">B4/B5</f>
        <v>0.88535031847133761</v>
      </c>
      <c r="C6" s="4">
        <f t="shared" si="0"/>
        <v>1.5359477124183007</v>
      </c>
      <c r="D6" s="4">
        <f t="shared" si="0"/>
        <v>1.4814814814814814</v>
      </c>
      <c r="E6" s="4">
        <f t="shared" si="0"/>
        <v>1.3977272727272727</v>
      </c>
      <c r="F6" s="4">
        <f t="shared" si="0"/>
        <v>2.1062500000000002</v>
      </c>
      <c r="G6" s="4">
        <f t="shared" si="0"/>
        <v>1.3890784982935154</v>
      </c>
      <c r="H6" s="4">
        <f t="shared" si="0"/>
        <v>2.2113402061855671</v>
      </c>
      <c r="I6" s="4">
        <f t="shared" si="0"/>
        <v>2.1607565011820329</v>
      </c>
      <c r="J6" s="4">
        <f t="shared" si="0"/>
        <v>2.150259067357513</v>
      </c>
      <c r="K6" s="4">
        <f t="shared" si="0"/>
        <v>1.673202614379085</v>
      </c>
      <c r="L6" s="4">
        <f t="shared" si="0"/>
        <v>1.4570135746606334</v>
      </c>
      <c r="M6" s="4">
        <f t="shared" si="0"/>
        <v>0.9765625</v>
      </c>
      <c r="N6" s="4">
        <f t="shared" si="0"/>
        <v>0.70161290322580649</v>
      </c>
      <c r="O6" s="4">
        <f>O4/O5</f>
        <v>0.98518518518518516</v>
      </c>
      <c r="P6" s="4">
        <f t="shared" ref="P6:S6" si="1">P4/P5</f>
        <v>1.3829787234042554</v>
      </c>
      <c r="Q6" s="4">
        <f t="shared" si="1"/>
        <v>1.4059405940594059</v>
      </c>
      <c r="R6" s="4">
        <f t="shared" si="1"/>
        <v>1.3666666666666667</v>
      </c>
      <c r="S6" s="4">
        <f t="shared" si="1"/>
        <v>1.3942307692307692</v>
      </c>
      <c r="T6" s="4">
        <f t="shared" si="0"/>
        <v>1.9355432780847146</v>
      </c>
      <c r="U6" s="4">
        <f t="shared" ref="U6:X6" si="2">U4/U5</f>
        <v>1.1147540983606556</v>
      </c>
      <c r="V6" s="4">
        <f t="shared" si="2"/>
        <v>1.3017751479289941</v>
      </c>
      <c r="W6" s="4">
        <f t="shared" ref="W6" si="3">W4/W5</f>
        <v>1.3846153846153846</v>
      </c>
      <c r="X6" s="4">
        <f t="shared" si="2"/>
        <v>1.4681528662420382</v>
      </c>
    </row>
    <row r="7" spans="1:24" ht="18.75" x14ac:dyDescent="0.3">
      <c r="A7" s="9" t="s">
        <v>9</v>
      </c>
      <c r="B7" s="7" t="s">
        <v>7</v>
      </c>
      <c r="C7" s="7" t="s">
        <v>6</v>
      </c>
      <c r="D7" s="7" t="s">
        <v>5</v>
      </c>
      <c r="E7" s="7" t="s">
        <v>4</v>
      </c>
      <c r="F7" s="7" t="s">
        <v>3</v>
      </c>
      <c r="G7" s="7" t="s">
        <v>2</v>
      </c>
      <c r="H7" s="7" t="s">
        <v>1</v>
      </c>
      <c r="I7" s="7" t="s">
        <v>0</v>
      </c>
      <c r="J7" s="7" t="s">
        <v>12</v>
      </c>
      <c r="K7" s="7" t="s">
        <v>13</v>
      </c>
      <c r="L7" s="7" t="s">
        <v>14</v>
      </c>
      <c r="M7" s="7" t="s">
        <v>15</v>
      </c>
      <c r="N7" s="7" t="s">
        <v>16</v>
      </c>
      <c r="O7" s="7" t="s">
        <v>17</v>
      </c>
      <c r="P7" s="7" t="s">
        <v>18</v>
      </c>
      <c r="Q7" s="7" t="s">
        <v>19</v>
      </c>
      <c r="R7" s="7" t="s">
        <v>20</v>
      </c>
      <c r="S7" s="7" t="s">
        <v>21</v>
      </c>
      <c r="T7" s="7" t="s">
        <v>22</v>
      </c>
      <c r="U7" s="7" t="s">
        <v>23</v>
      </c>
      <c r="V7" s="7" t="s">
        <v>24</v>
      </c>
      <c r="W7" s="7" t="s">
        <v>25</v>
      </c>
      <c r="X7" s="7" t="s">
        <v>26</v>
      </c>
    </row>
    <row r="8" spans="1:24" x14ac:dyDescent="0.25">
      <c r="A8" s="1" t="s">
        <v>8</v>
      </c>
      <c r="B8" s="2">
        <v>386</v>
      </c>
      <c r="C8" s="2">
        <v>354</v>
      </c>
      <c r="D8" s="2">
        <v>381</v>
      </c>
      <c r="E8" s="2">
        <v>361</v>
      </c>
      <c r="F8" s="2">
        <v>457.5</v>
      </c>
      <c r="G8" s="2">
        <v>434.5</v>
      </c>
      <c r="H8" s="2">
        <v>434</v>
      </c>
      <c r="I8" s="2">
        <v>404</v>
      </c>
      <c r="J8" s="2">
        <v>417</v>
      </c>
      <c r="K8" s="2">
        <v>497</v>
      </c>
      <c r="L8" s="2">
        <v>360.5</v>
      </c>
      <c r="M8" s="2">
        <v>436</v>
      </c>
      <c r="N8" s="2">
        <v>588</v>
      </c>
      <c r="O8" s="2">
        <v>326</v>
      </c>
      <c r="P8" s="2">
        <v>271</v>
      </c>
      <c r="Q8" s="2">
        <v>300</v>
      </c>
      <c r="R8" s="2">
        <v>310</v>
      </c>
      <c r="S8" s="2">
        <v>273</v>
      </c>
      <c r="T8" s="2">
        <v>423</v>
      </c>
      <c r="U8" s="2">
        <v>450</v>
      </c>
      <c r="V8" s="2">
        <v>364</v>
      </c>
      <c r="W8" s="10">
        <v>309</v>
      </c>
      <c r="X8" s="2">
        <v>345</v>
      </c>
    </row>
    <row r="9" spans="1:24" x14ac:dyDescent="0.25">
      <c r="A9" s="1" t="s">
        <v>27</v>
      </c>
      <c r="B9" s="2">
        <v>194</v>
      </c>
      <c r="C9" s="2">
        <v>206</v>
      </c>
      <c r="D9" s="2">
        <v>184</v>
      </c>
      <c r="E9" s="2">
        <v>197</v>
      </c>
      <c r="F9" s="2">
        <v>357.5</v>
      </c>
      <c r="G9" s="2">
        <v>289.5</v>
      </c>
      <c r="H9" s="2">
        <v>224</v>
      </c>
      <c r="I9" s="2">
        <v>209</v>
      </c>
      <c r="J9" s="2">
        <v>194</v>
      </c>
      <c r="K9" s="2">
        <v>317</v>
      </c>
      <c r="L9" s="2">
        <v>185</v>
      </c>
      <c r="M9" s="2">
        <v>194</v>
      </c>
      <c r="N9" s="2">
        <v>314</v>
      </c>
      <c r="O9" s="2">
        <v>275</v>
      </c>
      <c r="P9" s="2">
        <v>311</v>
      </c>
      <c r="Q9" s="2">
        <v>299.5</v>
      </c>
      <c r="R9" s="2">
        <v>294</v>
      </c>
      <c r="S9" s="2">
        <v>312</v>
      </c>
      <c r="T9" s="2">
        <v>382</v>
      </c>
      <c r="U9" s="2">
        <v>341</v>
      </c>
      <c r="V9" s="2">
        <v>340</v>
      </c>
      <c r="W9" s="10">
        <v>310</v>
      </c>
      <c r="X9" s="2">
        <v>310</v>
      </c>
    </row>
    <row r="10" spans="1:24" x14ac:dyDescent="0.25">
      <c r="A10" s="3" t="s">
        <v>11</v>
      </c>
      <c r="B10" s="6">
        <f>B8/B9</f>
        <v>1.9896907216494846</v>
      </c>
      <c r="C10" s="4">
        <f t="shared" ref="C10:T10" si="4">C8/C9</f>
        <v>1.7184466019417475</v>
      </c>
      <c r="D10" s="4">
        <f t="shared" si="4"/>
        <v>2.0706521739130435</v>
      </c>
      <c r="E10" s="4">
        <f t="shared" si="4"/>
        <v>1.8324873096446701</v>
      </c>
      <c r="F10" s="4">
        <f t="shared" si="4"/>
        <v>1.2797202797202798</v>
      </c>
      <c r="G10" s="4">
        <f t="shared" si="4"/>
        <v>1.5008635578583764</v>
      </c>
      <c r="H10" s="4">
        <f t="shared" si="4"/>
        <v>1.9375</v>
      </c>
      <c r="I10" s="4">
        <f t="shared" si="4"/>
        <v>1.9330143540669857</v>
      </c>
      <c r="J10" s="4">
        <f t="shared" si="4"/>
        <v>2.1494845360824741</v>
      </c>
      <c r="K10" s="4">
        <f t="shared" si="4"/>
        <v>1.5678233438485805</v>
      </c>
      <c r="L10" s="4">
        <f t="shared" si="4"/>
        <v>1.9486486486486487</v>
      </c>
      <c r="M10" s="4">
        <f t="shared" si="4"/>
        <v>2.2474226804123711</v>
      </c>
      <c r="N10" s="4">
        <f t="shared" si="4"/>
        <v>1.8726114649681529</v>
      </c>
      <c r="O10" s="4">
        <f>O8/O9</f>
        <v>1.1854545454545455</v>
      </c>
      <c r="P10" s="4">
        <f t="shared" ref="P10:S10" si="5">P8/P9</f>
        <v>0.87138263665594851</v>
      </c>
      <c r="Q10" s="4">
        <f t="shared" si="5"/>
        <v>1.001669449081803</v>
      </c>
      <c r="R10" s="4">
        <f t="shared" si="5"/>
        <v>1.0544217687074831</v>
      </c>
      <c r="S10" s="4">
        <f t="shared" si="5"/>
        <v>0.875</v>
      </c>
      <c r="T10" s="4">
        <f t="shared" si="4"/>
        <v>1.1073298429319371</v>
      </c>
      <c r="U10" s="4">
        <f t="shared" ref="U10:X10" si="6">U8/U9</f>
        <v>1.3196480938416422</v>
      </c>
      <c r="V10" s="4">
        <f t="shared" si="6"/>
        <v>1.0705882352941176</v>
      </c>
      <c r="W10" s="4">
        <f t="shared" ref="W10" si="7">W8/W9</f>
        <v>0.99677419354838714</v>
      </c>
      <c r="X10" s="4">
        <f t="shared" si="6"/>
        <v>1.1129032258064515</v>
      </c>
    </row>
    <row r="11" spans="1:24" x14ac:dyDescent="0.25">
      <c r="B11" s="2"/>
      <c r="C11" s="2"/>
      <c r="D11" s="2"/>
      <c r="E11" s="2"/>
      <c r="F11" s="2"/>
      <c r="G11" s="2"/>
      <c r="H11" s="2"/>
      <c r="I11" s="2"/>
    </row>
  </sheetData>
  <conditionalFormatting sqref="B6:X6">
    <cfRule type="cellIs" dxfId="3" priority="3" stopIfTrue="1" operator="greaterThan">
      <formula>2</formula>
    </cfRule>
    <cfRule type="cellIs" dxfId="2" priority="4" stopIfTrue="1" operator="lessThan">
      <formula>1</formula>
    </cfRule>
  </conditionalFormatting>
  <conditionalFormatting sqref="B10:X10">
    <cfRule type="cellIs" dxfId="1" priority="1" stopIfTrue="1" operator="greaterThan">
      <formula>2</formula>
    </cfRule>
    <cfRule type="cellIs" dxfId="0" priority="2" stopIfTrue="1" operator="lessThan">
      <formula>1</formula>
    </cfRule>
  </conditionalFormatting>
  <printOptions horizontalCentered="1" verticalCentered="1"/>
  <pageMargins left="0.6" right="0.7" top="0.5" bottom="0.75" header="0.3" footer="0.3"/>
  <pageSetup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Koehr</dc:creator>
  <cp:lastModifiedBy>Jim Koehr</cp:lastModifiedBy>
  <cp:lastPrinted>2020-02-11T15:26:01Z</cp:lastPrinted>
  <dcterms:created xsi:type="dcterms:W3CDTF">2010-02-14T14:30:32Z</dcterms:created>
  <dcterms:modified xsi:type="dcterms:W3CDTF">2025-12-17T23:24:38Z</dcterms:modified>
</cp:coreProperties>
</file>